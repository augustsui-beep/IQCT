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ugustsu\Downloads\"/>
    </mc:Choice>
  </mc:AlternateContent>
  <xr:revisionPtr revIDLastSave="0" documentId="13_ncr:1_{D406B8BE-2083-41B7-A24F-B069700B52B9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LCS Quality Trend Chart" sheetId="30" r:id="rId1"/>
    <sheet name="LCS Quality Status Table" sheetId="33" r:id="rId2"/>
    <sheet name="IQC LCS Weekly Record" sheetId="88" r:id="rId3"/>
    <sheet name="LCS Quality Issue List" sheetId="87" r:id="rId4"/>
  </sheets>
  <definedNames>
    <definedName name="_xlnm._FilterDatabase" localSheetId="3" hidden="1">'LCS Quality Issue List'!$A$2:$N$127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33" l="1"/>
  <c r="P13" i="33"/>
  <c r="O25" i="33"/>
  <c r="P25" i="33"/>
  <c r="O13" i="33"/>
  <c r="N13" i="33"/>
  <c r="N19" i="33"/>
  <c r="BC31" i="33"/>
  <c r="BB31" i="33"/>
  <c r="BA31" i="33"/>
  <c r="AZ31" i="33"/>
  <c r="AY31" i="33"/>
  <c r="AX31" i="33"/>
  <c r="AW31" i="33"/>
  <c r="AV31" i="33"/>
  <c r="AU31" i="33"/>
  <c r="AT31" i="33"/>
  <c r="AS31" i="33"/>
  <c r="AR31" i="33"/>
  <c r="AQ31" i="33"/>
  <c r="AP31" i="33"/>
  <c r="AO31" i="33"/>
  <c r="AN31" i="33"/>
  <c r="AM31" i="33"/>
  <c r="AL31" i="33"/>
  <c r="AK31" i="33"/>
  <c r="AJ31" i="33"/>
  <c r="AI31" i="33"/>
  <c r="AH31" i="33"/>
  <c r="AG31" i="33"/>
  <c r="AF31" i="33"/>
  <c r="AE31" i="33"/>
  <c r="AD31" i="33"/>
  <c r="AC31" i="33"/>
  <c r="AB31" i="33"/>
  <c r="AA31" i="33"/>
  <c r="Z31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E31" i="33"/>
  <c r="D31" i="33"/>
  <c r="BC25" i="33"/>
  <c r="BB25" i="33"/>
  <c r="BA25" i="33"/>
  <c r="AZ25" i="33"/>
  <c r="AY25" i="33"/>
  <c r="AX25" i="33"/>
  <c r="AW25" i="33"/>
  <c r="AV25" i="33"/>
  <c r="AU25" i="33"/>
  <c r="AT25" i="33"/>
  <c r="AS25" i="33"/>
  <c r="AR25" i="33"/>
  <c r="AQ25" i="33"/>
  <c r="AP25" i="33"/>
  <c r="AM25" i="33"/>
  <c r="AJ25" i="33"/>
  <c r="AI25" i="33"/>
  <c r="AC25" i="33"/>
  <c r="AB25" i="33"/>
  <c r="Z25" i="33"/>
  <c r="X25" i="33"/>
  <c r="S25" i="33"/>
  <c r="R25" i="33"/>
  <c r="K25" i="33"/>
  <c r="J25" i="33"/>
  <c r="I25" i="33"/>
  <c r="E25" i="33"/>
  <c r="D25" i="33"/>
  <c r="BC19" i="33"/>
  <c r="BB19" i="33"/>
  <c r="BA19" i="33"/>
  <c r="AZ19" i="33"/>
  <c r="AY19" i="33"/>
  <c r="AX19" i="33"/>
  <c r="AW19" i="33"/>
  <c r="AV19" i="33"/>
  <c r="AU19" i="33"/>
  <c r="AT19" i="33"/>
  <c r="AS19" i="33"/>
  <c r="AR19" i="33"/>
  <c r="AQ19" i="33"/>
  <c r="AP19" i="33"/>
  <c r="AO19" i="33"/>
  <c r="AN19" i="33"/>
  <c r="AM19" i="33"/>
  <c r="AL19" i="33"/>
  <c r="AK19" i="33"/>
  <c r="AJ19" i="33"/>
  <c r="AI19" i="33"/>
  <c r="AH19" i="33"/>
  <c r="AG19" i="33"/>
  <c r="AF19" i="33"/>
  <c r="AE19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M19" i="33"/>
  <c r="J19" i="33"/>
  <c r="I19" i="33"/>
  <c r="H19" i="33"/>
  <c r="G19" i="33"/>
  <c r="F19" i="33"/>
  <c r="E19" i="33"/>
  <c r="D19" i="33"/>
  <c r="AI13" i="33"/>
  <c r="AH13" i="33"/>
  <c r="AC13" i="33"/>
  <c r="AB13" i="33"/>
  <c r="AA13" i="33"/>
  <c r="Z13" i="33"/>
  <c r="K13" i="33"/>
  <c r="BC7" i="33"/>
  <c r="BB7" i="33"/>
  <c r="BA7" i="33"/>
  <c r="AZ7" i="33"/>
  <c r="AY7" i="33"/>
  <c r="AX7" i="33"/>
  <c r="AW7" i="33"/>
  <c r="AV7" i="33"/>
  <c r="AU7" i="33"/>
  <c r="AT7" i="33"/>
  <c r="AS7" i="33"/>
  <c r="AR7" i="33"/>
  <c r="AQ7" i="33"/>
  <c r="AP7" i="33"/>
  <c r="AO7" i="33"/>
  <c r="AN7" i="33"/>
  <c r="AM7" i="33"/>
  <c r="AL7" i="33"/>
  <c r="AK7" i="33"/>
  <c r="AJ7" i="33"/>
  <c r="AI7" i="33"/>
  <c r="AH7" i="33"/>
  <c r="AG7" i="33"/>
  <c r="AF7" i="33"/>
  <c r="AE7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I7" i="33"/>
  <c r="E7" i="33"/>
  <c r="D7" i="33"/>
  <c r="C31" i="33"/>
  <c r="C25" i="33"/>
  <c r="C19" i="33"/>
  <c r="C7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tc={ECD6C056-9992-4162-9B9F-F6CA47179065}</author>
  </authors>
  <commentList>
    <comment ref="D3" authorId="0" shapeId="0" xr:uid="{ECD6C056-9992-4162-9B9F-F6CA47179065}">
      <text>
        <t>[對話串註解]
您的 Excel 版本可讓您讀取此對話串註解; 但若以較新的 Excel 版本開啟此檔案，將會移除對它進行的所有編輯。深入了解: https://go.microsoft.com/fwlink/?linkid=870924。
註解:
    Failure was in WK40 but was added to WK41 since no racks completed Production in WK40</t>
      </text>
    </comment>
  </commentList>
</comments>
</file>

<file path=xl/sharedStrings.xml><?xml version="1.0" encoding="utf-8"?>
<sst xmlns="http://schemas.openxmlformats.org/spreadsheetml/2006/main" count="1469" uniqueCount="464">
  <si>
    <t>Index</t>
    <phoneticPr fontId="10" type="noConversion"/>
  </si>
  <si>
    <t>Index</t>
    <phoneticPr fontId="7" type="noConversion"/>
  </si>
  <si>
    <t>WK41</t>
  </si>
  <si>
    <t>WK42</t>
  </si>
  <si>
    <t>WK43</t>
  </si>
  <si>
    <t>WK44</t>
  </si>
  <si>
    <t>WK45</t>
  </si>
  <si>
    <t>WK46</t>
  </si>
  <si>
    <t>WK47</t>
  </si>
  <si>
    <t>WK48</t>
  </si>
  <si>
    <t>WK49</t>
  </si>
  <si>
    <t>WK50</t>
  </si>
  <si>
    <t>WK51</t>
  </si>
  <si>
    <t>WK52</t>
  </si>
  <si>
    <t>Input Q'ty</t>
    <phoneticPr fontId="16" type="noConversion"/>
  </si>
  <si>
    <t>Cust. Complaint Q'ty</t>
    <phoneticPr fontId="16" type="noConversion"/>
  </si>
  <si>
    <t>Acc. Cust. Complaint Q'ty</t>
    <phoneticPr fontId="16" type="noConversion"/>
  </si>
  <si>
    <t xml:space="preserve"> Insp. Quantity</t>
    <phoneticPr fontId="7" type="noConversion"/>
  </si>
  <si>
    <t>Item</t>
    <phoneticPr fontId="16" type="noConversion"/>
  </si>
  <si>
    <t>Week</t>
  </si>
  <si>
    <t>Date</t>
  </si>
  <si>
    <t>Area</t>
    <phoneticPr fontId="16" type="noConversion"/>
  </si>
  <si>
    <t>Serial Number</t>
  </si>
  <si>
    <t>Problem Description</t>
    <phoneticPr fontId="16" type="noConversion"/>
  </si>
  <si>
    <t>Category</t>
    <phoneticPr fontId="16" type="noConversion"/>
  </si>
  <si>
    <t>Owner</t>
    <phoneticPr fontId="16" type="noConversion"/>
  </si>
  <si>
    <t xml:space="preserve">                  Weekly Rejion</t>
    <phoneticPr fontId="16" type="noConversion"/>
  </si>
  <si>
    <t>Remark</t>
  </si>
  <si>
    <t>LCS Quality Issue List</t>
    <phoneticPr fontId="16" type="noConversion"/>
  </si>
  <si>
    <t>Tyoe</t>
    <phoneticPr fontId="7" type="noConversion"/>
  </si>
  <si>
    <t>Fail Q'ty</t>
    <phoneticPr fontId="7" type="noConversion"/>
  </si>
  <si>
    <t>Insp. Q'ty</t>
    <phoneticPr fontId="7" type="noConversion"/>
  </si>
  <si>
    <t>Failure Rate</t>
    <phoneticPr fontId="7" type="noConversion"/>
  </si>
  <si>
    <t>Input Q'ty</t>
    <phoneticPr fontId="7" type="noConversion"/>
  </si>
  <si>
    <t>US IQC Defect Rate (CDM)</t>
  </si>
  <si>
    <t>US Production Failure Rate (CDM)</t>
  </si>
  <si>
    <t>US IQC Defect Rate (CDU)</t>
  </si>
  <si>
    <t>US Production Failure Rate (CDU)</t>
  </si>
  <si>
    <t>US Customer Complaints Status (LCS)</t>
  </si>
  <si>
    <t>US IQC Defect Rate (SPAT)</t>
  </si>
  <si>
    <t>US Production Failure Rate (SPAT)</t>
  </si>
  <si>
    <t>Weekly US LCS Quality Status Trend Chart</t>
  </si>
  <si>
    <t>Weekly US LCS Quality Status Table</t>
  </si>
  <si>
    <t>SMCI US</t>
  </si>
  <si>
    <t>Kaori</t>
  </si>
  <si>
    <t>CDM</t>
  </si>
  <si>
    <t>LCS-SCDM-008V48003-ABT</t>
  </si>
  <si>
    <t>LM009A14320000060A</t>
  </si>
  <si>
    <t>Before Assembly, found one blue QD leaking when box was opened</t>
  </si>
  <si>
    <t>Production</t>
  </si>
  <si>
    <t>LCS-SCDM-006H1A001-ABT</t>
  </si>
  <si>
    <t>LM010A14330008100A</t>
  </si>
  <si>
    <t>Blue QD connector defective</t>
  </si>
  <si>
    <t>LM010A14330008140A</t>
  </si>
  <si>
    <t>LM010A14330008060A</t>
  </si>
  <si>
    <t>LM010A14350013330A</t>
  </si>
  <si>
    <t>During Assembly, Production found one red QD leaking</t>
  </si>
  <si>
    <t>Ablecom</t>
  </si>
  <si>
    <t>LM010A14340014360A</t>
  </si>
  <si>
    <t>Red QD Connector gap is over the specification. Measurment value 0.025".</t>
  </si>
  <si>
    <t>IQC</t>
  </si>
  <si>
    <t>LM010A14350015060A</t>
  </si>
  <si>
    <t>During Testing, Production found one blue QD leaking</t>
  </si>
  <si>
    <t>LM009A14340001680A</t>
  </si>
  <si>
    <t>Found one blue QD leaking during installation</t>
  </si>
  <si>
    <t>LM009A14350001670A</t>
  </si>
  <si>
    <t>During Testing, found Vertical CDM leaking from the top</t>
  </si>
  <si>
    <t>LM010A14330006340A</t>
  </si>
  <si>
    <t>One red coupling insert cannot connect to vertical CDM</t>
  </si>
  <si>
    <t>SPAT</t>
  </si>
  <si>
    <t>LCS-SPAT-TSFH0020</t>
  </si>
  <si>
    <t>LP045K14350000740B</t>
  </si>
  <si>
    <t>Missing internal rubber gasket causing serious leakage during Testing</t>
  </si>
  <si>
    <t>LCS-SPAT-TSFH0001-ABT</t>
  </si>
  <si>
    <t>24270001600B, 24270001800B, 24270001900B, 24270002100B, 24270002500B</t>
  </si>
  <si>
    <t>Date code at outer carton box and date code on Hose SN label not match</t>
  </si>
  <si>
    <t>LM010A14340006280A</t>
  </si>
  <si>
    <t>During Assembly, found one red QD leaking</t>
  </si>
  <si>
    <t>LM010A14350015090A</t>
  </si>
  <si>
    <t>Coolant residue found on several red and blue QDs, possible leakage issue</t>
  </si>
  <si>
    <t>LM010A14320013630A</t>
  </si>
  <si>
    <t>During Assembly, one red QD connector defective</t>
  </si>
  <si>
    <t>LM009A14320001930A</t>
  </si>
  <si>
    <t>Before Assembly, found blue CDM leakage when unboxing</t>
  </si>
  <si>
    <t>LM009A14350000360A</t>
  </si>
  <si>
    <t>During Packing, Production found one red QD leaking</t>
  </si>
  <si>
    <t>LM009A14350001120A</t>
  </si>
  <si>
    <t>Coolant leak found near top of the red CDM when box was opened</t>
  </si>
  <si>
    <t>LM010A14320017070A</t>
  </si>
  <si>
    <t>One red QD connector issue (lock defective)</t>
  </si>
  <si>
    <t>LM010A14330009340A</t>
  </si>
  <si>
    <t>During Assembly, QA found one blue QD leaking</t>
  </si>
  <si>
    <t>CDU</t>
  </si>
  <si>
    <t>LCS-SCDU-100L4002</t>
  </si>
  <si>
    <t>Date code on outer carton box 2434 not match with CDU SN Date Code 2432 &amp; 2433</t>
  </si>
  <si>
    <t xml:space="preserve">LU005N24320002510B, LU005N24320002110B, LU005N24320002150B, LU005N24320002170B, LU005N24320002180B, LU005N24320002210B, LU005N24320002220B,   LU005N24320002240B, LU005N24320002280B, LU005N24320002340B, LU005N24330000250B, LU005N24330000260B,  LU005N24330000310B, LU005N24330000320B, </t>
  </si>
  <si>
    <t>LM010A14330013540A</t>
  </si>
  <si>
    <t>During Assembly, Production found one blue QD and one red QD leaking</t>
  </si>
  <si>
    <t>LM010A14330010000A</t>
  </si>
  <si>
    <t>During Assembly, QA found one red QD leaking</t>
  </si>
  <si>
    <t>LM009A14320001530A</t>
  </si>
  <si>
    <t>After testing, Production found coolant was leaking from the black sensor (found rubber broke)</t>
  </si>
  <si>
    <t>LM009A14340000920A</t>
  </si>
  <si>
    <t>After testing, found coolant leak from air valve</t>
  </si>
  <si>
    <t>LM009A14320002170A</t>
  </si>
  <si>
    <t>LM010K14370000820A</t>
  </si>
  <si>
    <t>Before Assembly, found one red QD leaking</t>
  </si>
  <si>
    <t>LM010A14320022420A</t>
  </si>
  <si>
    <t>During Assembly, found red coupling insert cannot connect to vertical CDM</t>
  </si>
  <si>
    <t>LM009A14340000750A</t>
  </si>
  <si>
    <t>After Testing, found coolant residue near air valve</t>
  </si>
  <si>
    <t>LM009A14340000340A</t>
  </si>
  <si>
    <t>After Testing, found coolant leak on top</t>
  </si>
  <si>
    <t>LM009K14370000800A</t>
  </si>
  <si>
    <t>CDM coolant level lower than 50% which is below IQC spec 80%.</t>
  </si>
  <si>
    <t>LM009A14330000650A</t>
  </si>
  <si>
    <t>After testing, coolant leakage found on the top of the blue Vertical CDM</t>
  </si>
  <si>
    <t>LM009K14370000940A</t>
  </si>
  <si>
    <t xml:space="preserve">Araus </t>
  </si>
  <si>
    <t>LCS-SCDM-027VP44001</t>
  </si>
  <si>
    <t xml:space="preserve">CDM Left Side SN / CDM Right Side SN
L112903/R112802
 L112901/	R112902
 L112702/	R112906 
 L112902/R112801 
L112905 /R112901 
L112703 /R112701 
L112801 /R112702 
L112802 /R112703 </t>
  </si>
  <si>
    <t>Engineer Samples with cosmetic (Scratch) issues. PM accept samples as is and isolate it in WH.</t>
  </si>
  <si>
    <t>LM010K14430001770A</t>
  </si>
  <si>
    <t>During Assembly, one blue QD could not be inserted</t>
  </si>
  <si>
    <t>LM010A14330005530A</t>
  </si>
  <si>
    <t>During Assembly, one defective red QD valve caused the QD coupling insert to not fully lock when inserted</t>
  </si>
  <si>
    <t>LCS-SCDM-048V52001</t>
  </si>
  <si>
    <t>LM023K24510000010A</t>
  </si>
  <si>
    <t>Cannot scan SN QR code from vertical CDM</t>
  </si>
  <si>
    <t>WK01</t>
  </si>
  <si>
    <t>WK02</t>
  </si>
  <si>
    <t>WK03</t>
  </si>
  <si>
    <t>WK04</t>
  </si>
  <si>
    <t>WK05</t>
  </si>
  <si>
    <t>WK06</t>
  </si>
  <si>
    <t>WK07</t>
  </si>
  <si>
    <t>WK08</t>
  </si>
  <si>
    <t>WK09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</si>
  <si>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</si>
  <si>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</si>
  <si>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</si>
  <si>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</si>
  <si>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</si>
  <si>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</si>
  <si>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</si>
  <si>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</si>
  <si>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</si>
  <si>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</si>
  <si>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</si>
  <si>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</si>
  <si>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</si>
  <si>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</si>
  <si>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</si>
  <si>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</si>
  <si>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</si>
  <si>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</si>
  <si>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</si>
  <si>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</si>
  <si>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</si>
  <si>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</si>
  <si>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</si>
  <si>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WK33</t>
  </si>
  <si>
    <t>WK34</t>
  </si>
  <si>
    <t>WK35</t>
  </si>
  <si>
    <t>WK36</t>
  </si>
  <si>
    <t>WK37</t>
  </si>
  <si>
    <t>WK38</t>
  </si>
  <si>
    <t>WK39</t>
  </si>
  <si>
    <t>WK40</t>
  </si>
  <si>
    <t>3pcs CDM Date code (2452) not match with outer carton box and with the other pair Date code 2501. Also cosmetic issue on all 20 pcs CDM's</t>
  </si>
  <si>
    <t xml:space="preserve"> LM018U1452000007A0 / LM018U1501000007A LM018U1452000012A0 / LM018U1501000012A0                                                                                            LM018U1452000006A0 / LM018U1501000006A0 etc… </t>
  </si>
  <si>
    <t xml:space="preserve">LM018U1501000004A0 / LM018U1502000004A0                          LM018U1502000003A0 / LM018U1501000003A0, etc...      </t>
  </si>
  <si>
    <t>2pcs CDM Date code (2501) not match with outer carton box and with the other pair Date code 2502. Also cosmetic issue on all 16 pcs CDM's</t>
  </si>
  <si>
    <t>LM022K25030000010A  ~  LM022K25030000500A</t>
  </si>
  <si>
    <t>LCS-SCDM-032V42002</t>
  </si>
  <si>
    <t>Whole lot CDM Model (LCS-SCDM-032V42001) wrong at outer carton box and on pair CDM labels</t>
  </si>
  <si>
    <t>LM010A14320014710A
LM010A14320014720A
LM010A14320014730A
LM010A14320014740A
LM010A14320014750A
LM010A14320014760A
LM010A14320014810A
LM010A14320014820A
LM010A14320014830A
LM010A14320014840A</t>
  </si>
  <si>
    <t>Miissing Caution Stickers</t>
  </si>
  <si>
    <t>LM010A14330011280A
LM010A14320015680A
2347000023 00A</t>
  </si>
  <si>
    <t>B23 Rack Production found one QD leaking during Assembly</t>
  </si>
  <si>
    <t>LM010A14320008330A</t>
  </si>
  <si>
    <t>1</t>
  </si>
  <si>
    <t xml:space="preserve">Blue male coupling insert (connected to V-CDM) is leaking </t>
  </si>
  <si>
    <t>LM009A14330000310A
LM009K14370001010A</t>
  </si>
  <si>
    <t>2</t>
  </si>
  <si>
    <t>Vertical CDM leaking from air valve during Assembly</t>
  </si>
  <si>
    <t>LU011N24500000440A</t>
  </si>
  <si>
    <t>Long marking on top side area A of CDU and semicircle near screw hole</t>
  </si>
  <si>
    <t>LCS-SCDU-250LP4002</t>
  </si>
  <si>
    <t xml:space="preserve">Nidec </t>
  </si>
  <si>
    <t>LM009K25020000100A</t>
  </si>
  <si>
    <t xml:space="preserve">Vertical CDM came with the incorrect clamp and washer
</t>
  </si>
  <si>
    <t>Posting Date</t>
  </si>
  <si>
    <t>Inspector</t>
  </si>
  <si>
    <t>Defect Description</t>
  </si>
  <si>
    <t>Sample size</t>
  </si>
  <si>
    <t>Group</t>
  </si>
  <si>
    <t>Purchasing Document</t>
  </si>
  <si>
    <t>Inspection Lot</t>
  </si>
  <si>
    <t>Vendor name</t>
  </si>
  <si>
    <t>Date code</t>
  </si>
  <si>
    <t>Material Description</t>
  </si>
  <si>
    <t>SAP Material</t>
  </si>
  <si>
    <t>24802AC11001</t>
  </si>
  <si>
    <t>During Testing the display went black</t>
  </si>
  <si>
    <t>LM010K24480004420A</t>
  </si>
  <si>
    <t>Red male coupling insert leaking (out of the box/before assembly)</t>
  </si>
  <si>
    <t>LM010K14430002070A</t>
  </si>
  <si>
    <t>Blue QD leaking (near connection to main CDM body)</t>
  </si>
  <si>
    <t>LCS-SCDM-002WD004</t>
  </si>
  <si>
    <r>
      <t>QR code with extra wording (</t>
    </r>
    <r>
      <rPr>
        <sz val="11"/>
        <color rgb="FF000000"/>
        <rFont val="Calibri"/>
        <family val="2"/>
      </rPr>
      <t>SN:) in front of CDM SN</t>
    </r>
  </si>
  <si>
    <t>Cooler Master</t>
  </si>
  <si>
    <t>SN:LM028C2504000243A0
SN:LM028C2504000279A0
SN:LM028C2504000244A0
SN:LM028C2504000278A0
SN:LM028C2504000245A0
SN:LM028C2504000277A0
SN:LM028C2504000246A0
SN:LM028C2504000276A0
SN:LM028C2504000247A0
SN:LM028C2504000275A0
SN:LM028C2504000248A0
SN:LM028C2504000274A0
SN:LM028C2504000249A0
SN:LM028C2504000273A0
SN:LM028C2504000250A0
SN:LM028C2504000271A0
SN:LM028C2504000251A0
SN:LM028C2504000272A0</t>
  </si>
  <si>
    <t>Date code on outer carton box and inside SN label not match</t>
  </si>
  <si>
    <t>LM028C2502000007A0    ~ LM028C2502000150A0</t>
  </si>
  <si>
    <t xml:space="preserve">IQC </t>
  </si>
  <si>
    <t>LM028C2510000014A0   ~   LM028C2508001782A0</t>
  </si>
  <si>
    <t>Missing accessory screw packages (P/N: 293013000-GP3)</t>
  </si>
  <si>
    <t>60</t>
  </si>
  <si>
    <t>LM032K25080000490A</t>
  </si>
  <si>
    <t>Part of red water valve snapped off</t>
  </si>
  <si>
    <t>Duplicate CDU Lot Code and CDU MAC address (Label Issue)</t>
  </si>
  <si>
    <t xml:space="preserve">LCS-SCDU-250L4001 </t>
  </si>
  <si>
    <t>LU007N24300000270A</t>
  </si>
  <si>
    <t>3/26/2025
3/28/2025</t>
  </si>
  <si>
    <t xml:space="preserve">LCS-SCDM-032V42002 </t>
  </si>
  <si>
    <t>LM032K25030000120A
LM032K25100000310A
LM032K25030000140A</t>
  </si>
  <si>
    <t>3</t>
  </si>
  <si>
    <t>Vertical CDM leaking from air valve (after Rburn)</t>
  </si>
  <si>
    <t>LU009N24380000990A
(Lot code: 24918A C12 046)</t>
  </si>
  <si>
    <t>During packing, found contaminated coolant from CDU coolant level indicator.</t>
  </si>
  <si>
    <t>LM032K25100001410A</t>
  </si>
  <si>
    <t>After unboxing, found leakage coming from the coolant observation window</t>
  </si>
  <si>
    <t>LCS-SPAT-TSFH0036</t>
  </si>
  <si>
    <t>LP080K25140000130A etc…</t>
  </si>
  <si>
    <t>Date Code on outer carton box (2510) not match with inside Hoses (2514)</t>
  </si>
  <si>
    <t>LM010K24480001040A</t>
  </si>
  <si>
    <t>After insertion, coolant found to be leaking from the blue QD.</t>
  </si>
  <si>
    <t xml:space="preserve">Material Document </t>
  </si>
  <si>
    <t>LM032K25140001390A</t>
  </si>
  <si>
    <t xml:space="preserve">Before Assembly (after unboxing), coolant leaking from the air valve
</t>
  </si>
  <si>
    <t>6/62025</t>
  </si>
  <si>
    <t>24610A C11 007</t>
  </si>
  <si>
    <t xml:space="preserve">Duplicate SN and MAC Issue
</t>
  </si>
  <si>
    <t>LM032K25170001120A</t>
  </si>
  <si>
    <t>After Test, coolant leaking from red CDM QD</t>
  </si>
  <si>
    <t>LCS-SCDU-014A8001</t>
  </si>
  <si>
    <t>Delta</t>
  </si>
  <si>
    <t>31032025000M etc…</t>
  </si>
  <si>
    <t>Whole lot issue with Stain Marks at top surface of Chassis</t>
  </si>
  <si>
    <t>LU011N24510000290A</t>
  </si>
  <si>
    <t>CDU Screw Misalignment Issue - FIXED onsite</t>
  </si>
  <si>
    <t>LCS-SCDU-100L4004</t>
  </si>
  <si>
    <t>24711A C11 007</t>
  </si>
  <si>
    <t>No Power Issue - when plugged in for s short while, the CDU will automatically power off. CDU will be RTV'd</t>
  </si>
  <si>
    <t>LM018U1503000064A0
LM018U1503000032A0
LM018U1503000065A0</t>
  </si>
  <si>
    <t>LU011N24510000660A
LU011N24510000520A</t>
  </si>
  <si>
    <t>Coolant Contamination - Coolant splatter due to activation of the pressure relief valve on the CDU caused by high pressure. CDU coolant sight glass also shows signs of contamination.</t>
  </si>
  <si>
    <t>Production unable to remove/install the CDM Top/Bottom brackets due to a threading issue with the screw/nut. The nuts are not welded to the bracket which causes the nuts to fall off or keep spinning making it difficult to install/uninstall the bracket.</t>
  </si>
  <si>
    <t>24Z21A C11 006</t>
  </si>
  <si>
    <t xml:space="preserve">B23 Rack Production reported a CDU with an incorrect MAC Address on the label. </t>
  </si>
  <si>
    <t>LU011N24510000260A</t>
  </si>
  <si>
    <t>Coolant contamination seen in the CDU coolant sight glass</t>
  </si>
  <si>
    <t>2405000044 00A</t>
  </si>
  <si>
    <t>Blue QD Insertion Issue (does not lock)</t>
  </si>
  <si>
    <t>2408000062 00A</t>
  </si>
  <si>
    <t>Defective blue QD - coolant does not flow through</t>
  </si>
  <si>
    <t>SPTDADF8</t>
  </si>
  <si>
    <t>LCS-SCDU-250L4001</t>
  </si>
  <si>
    <t>LU009N24390000670A</t>
  </si>
  <si>
    <t>Indicator light (LED) was pushed in</t>
  </si>
  <si>
    <t>LU009N24390000270A</t>
  </si>
  <si>
    <t>1x security label (near control panel) seems to have been removed</t>
  </si>
  <si>
    <t>LU009N24380001660A</t>
  </si>
  <si>
    <t>1x security label partially peeled off</t>
  </si>
  <si>
    <t>LM032K25210000900A</t>
  </si>
  <si>
    <t>Leakage due to damage on the o-ring of 1x QD</t>
  </si>
  <si>
    <t>LCS-SPAT-PU0003</t>
  </si>
  <si>
    <t>N/A</t>
  </si>
  <si>
    <t>Missing SMC part number label from outer carton box</t>
  </si>
  <si>
    <t>LM032K25100001380A</t>
  </si>
  <si>
    <t>CDM coolant leakage likely due to defective QD</t>
  </si>
  <si>
    <t>Insp. Lot Qty</t>
  </si>
  <si>
    <t>LCS-SPAT-PU0005</t>
  </si>
  <si>
    <t>LP125K2533000000A0</t>
  </si>
  <si>
    <t>SN (LP125K2533000000A0) on item and outer carton box SN (LP125K2533000001A0) does not match</t>
  </si>
  <si>
    <t>LM032K25210002000A</t>
  </si>
  <si>
    <t>Vertical CDM has a defective QD (connector issue).</t>
  </si>
  <si>
    <t>LCS-SCDM-027VP44003</t>
  </si>
  <si>
    <t>LCS-SCDM-008V48001-ABT</t>
  </si>
  <si>
    <t>2352000016 00A</t>
  </si>
  <si>
    <t>Sensor detached</t>
  </si>
  <si>
    <t>LCS-SCDM-006H1A002</t>
  </si>
  <si>
    <t>LM026K25330001160A
LM026K25330001650A
LM026K25330000590A
LM026K25330000680A
LM026K25330001370A
LM026K25330001430A
LM026K25330001340A
LM026K25330001000A
LM026K25330001570A
LM026K25330000660A
LM026K25330000960A
LM026K25330000830A
LM026K25330000500A
LM026K25330001010A
LM026K25330001660A
LM026K25330000950A</t>
  </si>
  <si>
    <t>Broken QD Release Button - release buttons break during Production</t>
  </si>
  <si>
    <t>2352000017
2352000018
2307000045</t>
  </si>
  <si>
    <t xml:space="preserve">Duplicate SN
</t>
  </si>
  <si>
    <t>LM037K2538000129B0  ~ LM037K2538000136B0</t>
  </si>
  <si>
    <t>SN on the CDM and outer carton box SN does not match. Extra zero inside SN.</t>
  </si>
  <si>
    <t>2352000020
2307000049
2352000019</t>
  </si>
  <si>
    <t xml:space="preserve">Duplicate SN issue - similar to row 84
</t>
  </si>
  <si>
    <t>LM032K25170002420A</t>
  </si>
  <si>
    <t>Defective QD</t>
  </si>
  <si>
    <t>LM026K25330001530A</t>
  </si>
  <si>
    <t>Broken QD Release Button - release buttons break during Production (similar to row 83)</t>
  </si>
  <si>
    <t>LM032K25350000270B</t>
  </si>
  <si>
    <t xml:space="preserve">Before Assembly - signs of leakage when box was opened
</t>
  </si>
  <si>
    <t xml:space="preserve">LCS-SCDM-027VP44003 </t>
  </si>
  <si>
    <t>LM037K253200009308</t>
  </si>
  <si>
    <t>CDM Missing Screws</t>
  </si>
  <si>
    <t>LM0018UB541000124C0, LM018UB542000108C0 etc…</t>
  </si>
  <si>
    <t>Date Code (2542/2543) on outer carton box label does not match with CDM SN (Date code 2541/2542). Whole Lot Issue.</t>
  </si>
  <si>
    <t>LM037K2539000144B0</t>
  </si>
  <si>
    <t>BA, CDM missing air valve (incoming)</t>
  </si>
  <si>
    <t>LM037K25350000310B</t>
  </si>
  <si>
    <t>Missing UQD Port Protective Bracket</t>
  </si>
  <si>
    <t>LM037K2539000164B0</t>
  </si>
  <si>
    <t>Coolant leak found during Assembly</t>
  </si>
  <si>
    <t>LM037K2539000106B0</t>
  </si>
  <si>
    <t>Leakage from CDM and Extension Hose Joint during Assembly. LC Team and found the UQD04 at the bottom had some material stuck to the plunger (or could be displaced O-ring)</t>
  </si>
  <si>
    <t>LM037K2538000126B0 (Left CDM)
LM037K2539000066B0 (Right CDM)</t>
  </si>
  <si>
    <t>Unable to Refill Coolant</t>
  </si>
  <si>
    <t>LM037K25340000090B</t>
  </si>
  <si>
    <t>Missing O-ring on the FD83 connector causing coolant leakage. Due to urgent shipment schedule, Production fixed the issue and installed the missing O-ring. L11 QA to monitor Rburn Test to confirm no leakage seen after fix.</t>
  </si>
  <si>
    <t xml:space="preserve">LM018UB544000059C0 </t>
  </si>
  <si>
    <t>Vertical CDM wingnut C clamp orientation is opposite as compared to approval sheet Rev C0</t>
  </si>
  <si>
    <t>LM037K2538000019B0 (Right CDM)
LM037K2538000073B0 (Left CDM)</t>
  </si>
  <si>
    <t xml:space="preserve">Defect. qty </t>
  </si>
  <si>
    <t>46/47</t>
  </si>
  <si>
    <t>LM037K2542000001C0</t>
  </si>
  <si>
    <t>Coolant Leakage from 16 QDs</t>
  </si>
  <si>
    <t>LM018UB542000100C0</t>
  </si>
  <si>
    <t>CDM hose cannot be fully connected to the CDU</t>
  </si>
  <si>
    <t>LM037K2544000196C0</t>
  </si>
  <si>
    <t>Coolant Leakage from CDM Sight Glass</t>
  </si>
  <si>
    <t>TBD</t>
  </si>
  <si>
    <t>Missing CDM Bracket (only 7 instead of 8)</t>
  </si>
  <si>
    <t>LM018U1535000090B0</t>
  </si>
  <si>
    <t>Unable to Refill Coolant (Left CDM)</t>
  </si>
  <si>
    <t>LM018UB544000153C
LM018UB541000069C0
LM018UB541000021C0</t>
  </si>
  <si>
    <t>CDM Leakage (likely from QD)</t>
  </si>
  <si>
    <t>LM037K2547000269C0</t>
  </si>
  <si>
    <t>Coolant Leakage (from sight glass)</t>
  </si>
  <si>
    <t>LM018UB550000901C0 (Right CDM)</t>
  </si>
  <si>
    <t xml:space="preserve">CDM Leakage (from QD)
</t>
  </si>
  <si>
    <t>LM037K2539000015B0</t>
  </si>
  <si>
    <t>LCS-SCDM-002WD008</t>
  </si>
  <si>
    <t>WK53</t>
  </si>
  <si>
    <t>LM056UC55100534B0, LM056UC55100555B0, LM056UC55100568B0, LM056UC55100583B0, LM056UC55100616B0, LM056UC55100621B0,
                              LM056UC55100624B0, LM056UC55100626B0, LM056UC55100628B0, LM056UC55100631B0, LM056UC55100632B0</t>
  </si>
  <si>
    <t>11</t>
  </si>
  <si>
    <t>One digit missing from SN label and QR code</t>
  </si>
  <si>
    <t>LCS-SCDM 027VP44001</t>
  </si>
  <si>
    <t>LM018UB550001087C0</t>
  </si>
  <si>
    <t xml:space="preserve">CDM Leakage (from vent valve)
</t>
  </si>
  <si>
    <t>LCS-SPAT-SSC0003</t>
  </si>
  <si>
    <t xml:space="preserve">SPAT SN date code (539) and the outer carton box date code (2602) does not match </t>
  </si>
  <si>
    <t>20</t>
  </si>
  <si>
    <t>LP111K35390000850A etc…</t>
  </si>
  <si>
    <t>LCS-SPAT-SES0002</t>
  </si>
  <si>
    <t>Auras</t>
  </si>
  <si>
    <t>Leakage Sensor have black stains</t>
  </si>
  <si>
    <t>LM018UC550000074C0 etc</t>
  </si>
  <si>
    <t>Incorrect PN on CDM Label</t>
  </si>
  <si>
    <t>LM032K25440002780B</t>
  </si>
  <si>
    <t>Coolant Leakage from Vent Valve</t>
  </si>
  <si>
    <t>River Xia</t>
  </si>
  <si>
    <t>1889</t>
  </si>
  <si>
    <t>UD   ICCO SPCO STUP</t>
  </si>
  <si>
    <t>Plant</t>
  </si>
  <si>
    <t>Short Text</t>
  </si>
  <si>
    <t>System Status</t>
  </si>
  <si>
    <t>Kaori Thermal Technology Co Ltd</t>
  </si>
  <si>
    <t>LCS-SCDM-002WD010-OC018</t>
  </si>
  <si>
    <t>LCS-SCDM-002WD011-OC018</t>
  </si>
  <si>
    <t>Nidec Taiwan Corporation</t>
  </si>
  <si>
    <t>LM075C2606000204A0; LM075C2606000256A0; LM075C2606000628A0; LM075C2606000752A0; LM075C2606000765A0; LM075C2606000868A0; LM075C2606000940A0; LM075C2606000960A0; LM075C2606001036A0; LM075C2606001288A0; LM075C2606001334A0; LM075C2606001480A0; LM075C2606001572A0; LM075C2606001835A0; LM075C2606001880A0; LM075C2606001927A0;</t>
  </si>
  <si>
    <t xml:space="preserve">LM074C2606000792A0; LM074C2606001149A0; LM074C2606001611A0; LM074C2606001597A0; LM074C2606001848A0; LM074C2606001062A0; LM074C2606000802A0; LM074C2606000692A0; LM074C2606000878A0; LM074C2606001111A0; </t>
  </si>
  <si>
    <t>Dend on inner manifolds</t>
  </si>
  <si>
    <t>Dend on inner manifolds amd 3pcs sensor pad defect</t>
  </si>
  <si>
    <t>Rev</t>
  </si>
  <si>
    <t>0A</t>
  </si>
  <si>
    <t>B0</t>
  </si>
  <si>
    <t>24Y21A C12 020</t>
  </si>
  <si>
    <t>Unable to vacuum/drain the water</t>
  </si>
  <si>
    <t>AURAS TECHNOLOGY CO., LTD.</t>
  </si>
  <si>
    <t>Sensor boards with black stains</t>
  </si>
  <si>
    <t>LU011N25520000280A</t>
  </si>
  <si>
    <t>Rust on CDU</t>
  </si>
  <si>
    <t>LCS-SCDM-048V52002</t>
  </si>
  <si>
    <t>LM036K26060000190B</t>
  </si>
  <si>
    <t>CDM leakage from joint (near red ball valve)</t>
  </si>
  <si>
    <t>LM032K25420000160B</t>
  </si>
  <si>
    <t>Leakage from air valve</t>
  </si>
  <si>
    <t>0B</t>
  </si>
  <si>
    <t>2606</t>
  </si>
  <si>
    <t>LCS-SPAT-061</t>
  </si>
  <si>
    <t>LCS-SPAT-TSCH0004</t>
  </si>
  <si>
    <t>2612</t>
  </si>
  <si>
    <t>Unable to connect</t>
  </si>
  <si>
    <t>1000160480</t>
  </si>
  <si>
    <t>2613</t>
  </si>
  <si>
    <t>LCS-SCDM-044V44005-0C018</t>
  </si>
  <si>
    <t xml:space="preserve">Coolant leakage from CPC QD (stuck cap) during Testing.  </t>
  </si>
  <si>
    <t>4/15/2026
4/18/2026</t>
  </si>
  <si>
    <t>LM073JC606000074A0, LM072UC606000081A0, LM073JC606000079A0, LM072UC606000099A0, LM073UC606000066A0</t>
  </si>
  <si>
    <t>LM073UC606000083A0, LM072UC606000098A0, LM073UC606000064A0, LM073UC606000087A0, LM073UC606000019A0, LM073UC606000049A0</t>
  </si>
  <si>
    <t>N2 Pressure Leak Test Failure</t>
  </si>
  <si>
    <t>10000618142</t>
  </si>
  <si>
    <t>1000160613</t>
  </si>
  <si>
    <t>5001364054</t>
  </si>
  <si>
    <t>10000619599</t>
  </si>
  <si>
    <t>1000158649</t>
  </si>
  <si>
    <t>10000619600</t>
  </si>
  <si>
    <t>5001360945</t>
  </si>
  <si>
    <t>10000617749</t>
  </si>
  <si>
    <t>1000154927</t>
  </si>
  <si>
    <t>5001363574</t>
  </si>
  <si>
    <t>10000619200</t>
  </si>
  <si>
    <t>1000153067</t>
  </si>
  <si>
    <t>5001363578</t>
  </si>
  <si>
    <t>10000619205</t>
  </si>
  <si>
    <t>1000153510</t>
  </si>
  <si>
    <t>5001362518</t>
  </si>
  <si>
    <t>10000618773</t>
  </si>
  <si>
    <t>5001364814</t>
  </si>
  <si>
    <t>10000620128</t>
  </si>
  <si>
    <t>1000159297</t>
  </si>
  <si>
    <t>5001363998</t>
  </si>
  <si>
    <t>10000619570</t>
  </si>
  <si>
    <t>1000160401</t>
  </si>
  <si>
    <t>GI#4939852798(cooler filled)</t>
  </si>
  <si>
    <t>GI#4939917470-0001(N2 filled)</t>
  </si>
  <si>
    <t>GI#4939917470-0003(N2 filled)</t>
  </si>
  <si>
    <t>GI#4939840210</t>
  </si>
  <si>
    <t>GI#4939903060</t>
  </si>
  <si>
    <t>GI#4939903026</t>
  </si>
  <si>
    <t>GI#4939879772</t>
  </si>
  <si>
    <t>GI#4939936215</t>
  </si>
  <si>
    <t>GI#4939913925</t>
  </si>
  <si>
    <t>LCS-SCDM-036</t>
  </si>
  <si>
    <t>LCS-SCDM-072</t>
  </si>
  <si>
    <t>LCS-SCDM-044V44005-OC018</t>
  </si>
  <si>
    <t>LCS-SCDM-073</t>
  </si>
  <si>
    <t>LCS-SCDM-044V44007-OC018</t>
  </si>
  <si>
    <t>LCS-SCDU-006</t>
  </si>
  <si>
    <t>LCS-SCDU-002A001-ABT</t>
  </si>
  <si>
    <t>LCS-SCDU-011</t>
  </si>
  <si>
    <t>LCS-SPAT-148</t>
  </si>
  <si>
    <t>LCS-SPAT-PBS0003</t>
  </si>
  <si>
    <t>LCS-SPPS-033</t>
  </si>
  <si>
    <t>LCS-SPPS-TSCH0024</t>
  </si>
  <si>
    <t>2610</t>
  </si>
  <si>
    <t>2607</t>
  </si>
  <si>
    <t>2602/2603</t>
  </si>
  <si>
    <t>4/20/2026-4/24/2026</t>
  </si>
  <si>
    <t>LM073UC606000005A0/LM073UC606000006A0, LM073UC606000041A0, LM073UC606000034A0, LM072UC606000077A0,LM073UC606000020A0, LM072UC606000056A0, LM073UC606000059A0, LM072UC606000095A0, LM073UC606000033A0, LM073UC606000044A0, LM073UC606000007A0, LM073UC606000025A0</t>
  </si>
  <si>
    <t>LM072UC606000099A0 + LM072UC606000100A0 (Set)
LM073UC606000005A0, LM073UC606000006A0 (Set)</t>
  </si>
  <si>
    <t>SN Label Mismatch - SN for hot and cold CDM not matching
1. 1st set: LM072UC606000099A0 + LM072UC606000100A0 (Set)
2. 2nd set: LM073UC606000005A0, LM073UC606000006A0 (Set)</t>
  </si>
  <si>
    <t>Year</t>
    <phoneticPr fontId="7" type="noConversion"/>
  </si>
  <si>
    <t>Defective Qty</t>
    <phoneticPr fontId="16" type="noConversion"/>
  </si>
  <si>
    <t>1</t>
    <phoneticPr fontId="7" type="noConversion"/>
  </si>
  <si>
    <t>9</t>
    <phoneticPr fontId="7" type="noConversion"/>
  </si>
  <si>
    <t>Vendor</t>
    <phoneticPr fontId="7" type="noConversion"/>
  </si>
  <si>
    <t>Model Name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</si>
</sst>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404]e/m/d;@"/>
    <numFmt numFmtId="177" formatCode="0.0%"/>
    <numFmt numFmtId="178" formatCode="0_);[Red]\(0\)"/>
    <numFmt numFmtId="179" formatCode="0.000"/>
  </numFmts>
  <fonts count="75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4"/>
    </font>
    <font>
      <sz val="9"/>
      <name val="新細明體"/>
      <family val="2"/>
      <charset val="134"/>
    </font>
    <font>
      <sz val="10"/>
      <color theme="1"/>
      <name val="Arial"/>
      <family val="2"/>
    </font>
    <font>
      <b/>
      <sz val="10"/>
      <color theme="0" tint="-0.499984740745262"/>
      <name val="Arial"/>
      <family val="2"/>
    </font>
    <font>
      <b/>
      <sz val="10"/>
      <color rgb="FF0000FF"/>
      <name val="Arial"/>
      <family val="2"/>
    </font>
    <font>
      <sz val="12"/>
      <name val="新細明體"/>
      <family val="1"/>
      <charset val="136"/>
    </font>
    <font>
      <b/>
      <sz val="11"/>
      <color rgb="FF0000FF"/>
      <name val="Arial"/>
      <family val="2"/>
    </font>
    <font>
      <sz val="9"/>
      <name val="新細明體"/>
      <family val="1"/>
      <charset val="136"/>
    </font>
    <font>
      <sz val="10"/>
      <color theme="1" tint="0.14999847407452621"/>
      <name val="Arial"/>
      <family val="2"/>
    </font>
    <font>
      <b/>
      <sz val="11"/>
      <color theme="1" tint="0.14999847407452621"/>
      <name val="Arial"/>
      <family val="2"/>
    </font>
    <font>
      <sz val="22"/>
      <color theme="0"/>
      <name val="Arial Unicode MS"/>
      <family val="2"/>
      <charset val="136"/>
    </font>
    <font>
      <sz val="12"/>
      <color theme="1"/>
      <name val="Arial Unicode MS"/>
      <family val="2"/>
      <charset val="136"/>
    </font>
    <font>
      <sz val="18"/>
      <color theme="1"/>
      <name val="Arial Unicode MS"/>
      <family val="2"/>
      <charset val="136"/>
    </font>
    <font>
      <b/>
      <sz val="16"/>
      <color theme="1"/>
      <name val="Arial Unicode MS"/>
      <family val="2"/>
      <charset val="136"/>
    </font>
    <font>
      <b/>
      <sz val="10"/>
      <color theme="1"/>
      <name val="Arial Unicode MS"/>
      <family val="2"/>
      <charset val="136"/>
    </font>
    <font>
      <b/>
      <sz val="10"/>
      <color theme="1" tint="0.14999847407452621"/>
      <name val="Arial Unicode MS"/>
      <family val="2"/>
      <charset val="136"/>
    </font>
    <font>
      <b/>
      <sz val="10"/>
      <name val="Arial Unicode MS"/>
      <family val="2"/>
      <charset val="136"/>
    </font>
    <font>
      <sz val="12"/>
      <color theme="1"/>
      <name val="新細明體"/>
      <family val="1"/>
      <charset val="136"/>
      <scheme val="minor"/>
    </font>
    <font>
      <sz val="22"/>
      <color theme="1" tint="4.9989318521683403E-2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sz val="11"/>
      <name val="Arial Unicode MS"/>
      <family val="2"/>
      <charset val="136"/>
    </font>
    <font>
      <sz val="11"/>
      <color theme="1" tint="4.9989318521683403E-2"/>
      <name val="Arial Unicode MS"/>
      <family val="2"/>
      <charset val="136"/>
    </font>
    <font>
      <sz val="11"/>
      <name val="Arial"/>
      <family val="2"/>
    </font>
    <font>
      <sz val="11"/>
      <color theme="1"/>
      <name val="Arial"/>
      <family val="2"/>
      <charset val="136"/>
    </font>
    <font>
      <sz val="12"/>
      <color theme="1" tint="4.9989318521683403E-2"/>
      <name val="新細明體"/>
      <family val="1"/>
      <charset val="136"/>
      <scheme val="minor"/>
    </font>
    <font>
      <sz val="12"/>
      <color theme="1"/>
      <name val="Calibri"/>
      <family val="2"/>
    </font>
    <font>
      <sz val="12"/>
      <color theme="1" tint="4.9989318521683403E-2"/>
      <name val="新細明體"/>
      <family val="1"/>
      <charset val="136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theme="1"/>
      <name val="新細明體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20"/>
      <color theme="0"/>
      <name val="Arial Unicode MS"/>
      <family val="2"/>
      <charset val="136"/>
    </font>
    <font>
      <sz val="18"/>
      <color theme="0"/>
      <name val="Arial Unicode MS"/>
      <family val="2"/>
      <charset val="136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 diagonalDown="1"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 style="thin">
        <color theme="0" tint="-0.34998626667073579"/>
      </diagonal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4.9989318521683403E-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3">
    <xf numFmtId="176" fontId="0" fillId="0" borderId="0">
      <alignment vertical="center"/>
    </xf>
    <xf numFmtId="176" fontId="9" fillId="0" borderId="0">
      <alignment vertical="center"/>
    </xf>
    <xf numFmtId="176" fontId="14" fillId="0" borderId="0"/>
    <xf numFmtId="176" fontId="14" fillId="0" borderId="0">
      <alignment vertical="center"/>
    </xf>
    <xf numFmtId="176" fontId="14" fillId="0" borderId="0"/>
    <xf numFmtId="176" fontId="8" fillId="0" borderId="0">
      <alignment vertical="center"/>
    </xf>
    <xf numFmtId="176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176" fontId="11" fillId="0" borderId="0">
      <alignment horizontal="center" vertical="center"/>
    </xf>
    <xf numFmtId="176" fontId="15" fillId="0" borderId="4" applyFont="0" applyFill="0" applyAlignment="0">
      <alignment horizontal="center" vertical="center"/>
    </xf>
    <xf numFmtId="176" fontId="11" fillId="0" borderId="2" applyFill="0" applyBorder="0" applyAlignment="0">
      <alignment horizontal="center" vertical="center"/>
    </xf>
    <xf numFmtId="176" fontId="11" fillId="0" borderId="3" applyFill="0" applyBorder="0" applyAlignment="0">
      <alignment horizontal="center" vertical="center"/>
    </xf>
    <xf numFmtId="176" fontId="13" fillId="0" borderId="1" applyFont="0" applyFill="0" applyAlignment="0">
      <alignment horizontal="center" vertical="center"/>
    </xf>
    <xf numFmtId="177" fontId="12" fillId="2" borderId="1">
      <alignment horizontal="center" vertical="center"/>
    </xf>
    <xf numFmtId="176" fontId="11" fillId="0" borderId="2">
      <alignment horizontal="center" vertical="center"/>
    </xf>
    <xf numFmtId="178" fontId="18" fillId="0" borderId="1" applyFont="0" applyFill="0">
      <alignment horizontal="center" vertical="center" wrapText="1"/>
    </xf>
    <xf numFmtId="178" fontId="17" fillId="0" borderId="4">
      <alignment horizontal="center" vertical="center" wrapText="1"/>
    </xf>
    <xf numFmtId="0" fontId="8" fillId="0" borderId="0">
      <alignment vertical="center"/>
    </xf>
    <xf numFmtId="0" fontId="14" fillId="0" borderId="0">
      <alignment vertical="center"/>
    </xf>
    <xf numFmtId="176" fontId="8" fillId="0" borderId="0">
      <alignment vertical="center"/>
    </xf>
    <xf numFmtId="176" fontId="9" fillId="0" borderId="0">
      <alignment vertical="center"/>
    </xf>
    <xf numFmtId="0" fontId="26" fillId="0" borderId="0">
      <alignment vertical="center"/>
    </xf>
    <xf numFmtId="0" fontId="42" fillId="0" borderId="0"/>
    <xf numFmtId="0" fontId="43" fillId="0" borderId="0"/>
    <xf numFmtId="0" fontId="46" fillId="0" borderId="0"/>
    <xf numFmtId="0" fontId="47" fillId="0" borderId="0"/>
    <xf numFmtId="0" fontId="48" fillId="0" borderId="0"/>
    <xf numFmtId="0" fontId="49" fillId="0" borderId="0"/>
    <xf numFmtId="0" fontId="50" fillId="0" borderId="0"/>
    <xf numFmtId="0" fontId="51" fillId="0" borderId="0"/>
    <xf numFmtId="0" fontId="52" fillId="0" borderId="0"/>
    <xf numFmtId="0" fontId="53" fillId="0" borderId="0"/>
    <xf numFmtId="0" fontId="54" fillId="0" borderId="0"/>
    <xf numFmtId="0" fontId="56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6" fillId="0" borderId="0"/>
    <xf numFmtId="0" fontId="67" fillId="0" borderId="0"/>
    <xf numFmtId="0" fontId="68" fillId="0" borderId="0"/>
    <xf numFmtId="0" fontId="69" fillId="0" borderId="0"/>
    <xf numFmtId="0" fontId="70" fillId="0" borderId="0"/>
    <xf numFmtId="0" fontId="71" fillId="0" borderId="0"/>
    <xf numFmtId="0" fontId="72" fillId="0" borderId="0"/>
    <xf numFmtId="0" fontId="73" fillId="0" borderId="0"/>
    <xf numFmtId="0" fontId="74" fillId="0" borderId="0"/>
  </cellStyleXfs>
  <cellXfs count="109">
    <xf numFmtId="176" fontId="0" fillId="0" borderId="0" xfId="0">
      <alignment vertical="center"/>
    </xf>
    <xf numFmtId="176" fontId="20" fillId="0" borderId="0" xfId="0" applyFont="1">
      <alignment vertical="center"/>
    </xf>
    <xf numFmtId="176" fontId="19" fillId="5" borderId="0" xfId="0" applyFont="1" applyFill="1">
      <alignment vertical="center"/>
    </xf>
    <xf numFmtId="176" fontId="22" fillId="4" borderId="10" xfId="0" applyFont="1" applyFill="1" applyBorder="1">
      <alignment vertical="center"/>
    </xf>
    <xf numFmtId="176" fontId="23" fillId="2" borderId="1" xfId="1" applyFont="1" applyFill="1" applyBorder="1" applyAlignment="1">
      <alignment horizontal="center" vertical="center"/>
    </xf>
    <xf numFmtId="176" fontId="24" fillId="0" borderId="1" xfId="1" applyFont="1" applyBorder="1">
      <alignment vertical="center"/>
    </xf>
    <xf numFmtId="178" fontId="24" fillId="0" borderId="1" xfId="1" applyNumberFormat="1" applyFont="1" applyBorder="1" applyAlignment="1">
      <alignment horizontal="center" vertical="center"/>
    </xf>
    <xf numFmtId="176" fontId="22" fillId="3" borderId="10" xfId="0" applyFont="1" applyFill="1" applyBorder="1">
      <alignment vertical="center"/>
    </xf>
    <xf numFmtId="176" fontId="24" fillId="0" borderId="8" xfId="6" applyFont="1" applyBorder="1" applyAlignment="1">
      <alignment horizontal="left" wrapText="1"/>
    </xf>
    <xf numFmtId="176" fontId="22" fillId="7" borderId="10" xfId="0" applyFont="1" applyFill="1" applyBorder="1">
      <alignment vertical="center"/>
    </xf>
    <xf numFmtId="0" fontId="23" fillId="0" borderId="7" xfId="18" applyFont="1" applyBorder="1" applyAlignment="1">
      <alignment horizontal="center" vertical="center"/>
    </xf>
    <xf numFmtId="0" fontId="23" fillId="0" borderId="11" xfId="18" applyFont="1" applyBorder="1" applyAlignment="1">
      <alignment horizontal="center" vertical="center"/>
    </xf>
    <xf numFmtId="176" fontId="24" fillId="0" borderId="13" xfId="6" applyFont="1" applyBorder="1" applyAlignment="1">
      <alignment horizontal="left" wrapText="1"/>
    </xf>
    <xf numFmtId="10" fontId="23" fillId="0" borderId="14" xfId="1" applyNumberFormat="1" applyFont="1" applyBorder="1" applyAlignment="1">
      <alignment horizontal="center" vertical="center"/>
    </xf>
    <xf numFmtId="10" fontId="24" fillId="0" borderId="12" xfId="1" applyNumberFormat="1" applyFont="1" applyBorder="1" applyAlignment="1">
      <alignment horizontal="center" vertical="center"/>
    </xf>
    <xf numFmtId="176" fontId="28" fillId="0" borderId="0" xfId="21" applyFont="1" applyAlignment="1">
      <alignment horizontal="center" vertical="center"/>
    </xf>
    <xf numFmtId="1" fontId="29" fillId="8" borderId="17" xfId="20" applyNumberFormat="1" applyFont="1" applyFill="1" applyBorder="1" applyAlignment="1">
      <alignment horizontal="center" vertical="center"/>
    </xf>
    <xf numFmtId="0" fontId="29" fillId="8" borderId="17" xfId="20" applyNumberFormat="1" applyFont="1" applyFill="1" applyBorder="1" applyAlignment="1">
      <alignment horizontal="center" vertical="center"/>
    </xf>
    <xf numFmtId="14" fontId="29" fillId="8" borderId="17" xfId="20" applyNumberFormat="1" applyFont="1" applyFill="1" applyBorder="1" applyAlignment="1">
      <alignment horizontal="center" vertical="center"/>
    </xf>
    <xf numFmtId="49" fontId="29" fillId="8" borderId="17" xfId="20" applyNumberFormat="1" applyFont="1" applyFill="1" applyBorder="1" applyAlignment="1">
      <alignment horizontal="center" vertical="center"/>
    </xf>
    <xf numFmtId="176" fontId="29" fillId="8" borderId="17" xfId="20" applyFont="1" applyFill="1" applyBorder="1" applyAlignment="1">
      <alignment horizontal="center" vertical="center"/>
    </xf>
    <xf numFmtId="0" fontId="29" fillId="8" borderId="17" xfId="20" applyNumberFormat="1" applyFont="1" applyFill="1" applyBorder="1" applyAlignment="1">
      <alignment horizontal="center" vertical="center" wrapText="1"/>
    </xf>
    <xf numFmtId="176" fontId="30" fillId="8" borderId="17" xfId="20" applyFont="1" applyFill="1" applyBorder="1" applyAlignment="1">
      <alignment horizontal="center" vertical="center"/>
    </xf>
    <xf numFmtId="176" fontId="30" fillId="8" borderId="17" xfId="20" applyFont="1" applyFill="1" applyBorder="1" applyAlignment="1">
      <alignment horizontal="center" vertical="center" wrapText="1"/>
    </xf>
    <xf numFmtId="176" fontId="31" fillId="0" borderId="0" xfId="21" applyFont="1" applyAlignment="1">
      <alignment horizontal="center" vertical="center"/>
    </xf>
    <xf numFmtId="1" fontId="28" fillId="0" borderId="0" xfId="21" applyNumberFormat="1" applyFont="1" applyAlignment="1">
      <alignment horizontal="center" vertical="center"/>
    </xf>
    <xf numFmtId="0" fontId="28" fillId="0" borderId="0" xfId="21" applyNumberFormat="1" applyFont="1" applyAlignment="1">
      <alignment horizontal="center" vertical="center"/>
    </xf>
    <xf numFmtId="14" fontId="28" fillId="0" borderId="0" xfId="21" applyNumberFormat="1" applyFont="1" applyAlignment="1">
      <alignment horizontal="center" vertical="center"/>
    </xf>
    <xf numFmtId="49" fontId="28" fillId="0" borderId="0" xfId="21" applyNumberFormat="1" applyFont="1" applyAlignment="1">
      <alignment horizontal="center" vertical="center"/>
    </xf>
    <xf numFmtId="1" fontId="28" fillId="0" borderId="17" xfId="21" applyNumberFormat="1" applyFont="1" applyBorder="1" applyAlignment="1">
      <alignment horizontal="center" vertical="center"/>
    </xf>
    <xf numFmtId="0" fontId="33" fillId="0" borderId="17" xfId="20" applyNumberFormat="1" applyFont="1" applyBorder="1" applyAlignment="1">
      <alignment horizontal="center" vertical="center"/>
    </xf>
    <xf numFmtId="14" fontId="28" fillId="0" borderId="17" xfId="21" applyNumberFormat="1" applyFont="1" applyBorder="1" applyAlignment="1">
      <alignment horizontal="center" vertical="center"/>
    </xf>
    <xf numFmtId="14" fontId="34" fillId="0" borderId="17" xfId="20" applyNumberFormat="1" applyFont="1" applyBorder="1" applyAlignment="1">
      <alignment horizontal="center" vertical="center"/>
    </xf>
    <xf numFmtId="176" fontId="32" fillId="0" borderId="17" xfId="20" applyFont="1" applyBorder="1" applyAlignment="1">
      <alignment horizontal="center" vertical="center"/>
    </xf>
    <xf numFmtId="176" fontId="34" fillId="0" borderId="17" xfId="20" applyFont="1" applyBorder="1" applyAlignment="1">
      <alignment horizontal="center" vertical="center" wrapText="1"/>
    </xf>
    <xf numFmtId="0" fontId="37" fillId="0" borderId="17" xfId="18" applyFont="1" applyBorder="1" applyAlignment="1">
      <alignment horizontal="center" vertical="center" wrapText="1"/>
    </xf>
    <xf numFmtId="0" fontId="28" fillId="0" borderId="17" xfId="21" applyNumberFormat="1" applyFont="1" applyBorder="1" applyAlignment="1">
      <alignment horizontal="center" vertical="center"/>
    </xf>
    <xf numFmtId="176" fontId="28" fillId="0" borderId="17" xfId="21" applyFont="1" applyBorder="1" applyAlignment="1">
      <alignment horizontal="center" vertical="center" wrapText="1"/>
    </xf>
    <xf numFmtId="176" fontId="35" fillId="0" borderId="17" xfId="21" applyFont="1" applyBorder="1" applyAlignment="1">
      <alignment horizontal="center" vertical="center" wrapText="1"/>
    </xf>
    <xf numFmtId="176" fontId="28" fillId="0" borderId="17" xfId="21" applyFont="1" applyBorder="1" applyAlignment="1">
      <alignment horizontal="center" vertical="center"/>
    </xf>
    <xf numFmtId="0" fontId="38" fillId="0" borderId="17" xfId="18" applyFont="1" applyBorder="1" applyAlignment="1">
      <alignment horizontal="left" vertical="top" wrapText="1"/>
    </xf>
    <xf numFmtId="1" fontId="28" fillId="0" borderId="17" xfId="21" quotePrefix="1" applyNumberFormat="1" applyFont="1" applyBorder="1" applyAlignment="1">
      <alignment horizontal="center" vertical="center"/>
    </xf>
    <xf numFmtId="0" fontId="28" fillId="0" borderId="17" xfId="21" quotePrefix="1" applyNumberFormat="1" applyFont="1" applyBorder="1" applyAlignment="1">
      <alignment horizontal="center" vertical="center"/>
    </xf>
    <xf numFmtId="0" fontId="37" fillId="0" borderId="17" xfId="18" applyFont="1" applyBorder="1" applyAlignment="1">
      <alignment horizontal="left" vertical="top" wrapText="1"/>
    </xf>
    <xf numFmtId="176" fontId="6" fillId="0" borderId="17" xfId="0" applyFont="1" applyBorder="1" applyAlignment="1">
      <alignment horizontal="center" vertical="center"/>
    </xf>
    <xf numFmtId="176" fontId="5" fillId="0" borderId="17" xfId="0" applyFont="1" applyBorder="1" applyAlignment="1">
      <alignment horizontal="center" vertical="center"/>
    </xf>
    <xf numFmtId="176" fontId="28" fillId="0" borderId="17" xfId="21" quotePrefix="1" applyFont="1" applyBorder="1" applyAlignment="1">
      <alignment horizontal="center" vertical="center"/>
    </xf>
    <xf numFmtId="176" fontId="28" fillId="0" borderId="17" xfId="21" applyFont="1" applyBorder="1" applyAlignment="1">
      <alignment horizontal="left" vertical="top"/>
    </xf>
    <xf numFmtId="49" fontId="28" fillId="0" borderId="17" xfId="21" applyNumberFormat="1" applyFont="1" applyBorder="1" applyAlignment="1">
      <alignment horizontal="center" vertical="center"/>
    </xf>
    <xf numFmtId="176" fontId="4" fillId="0" borderId="17" xfId="0" applyFont="1" applyBorder="1" applyAlignment="1">
      <alignment horizontal="center" vertical="center" wrapText="1"/>
    </xf>
    <xf numFmtId="176" fontId="3" fillId="0" borderId="17" xfId="0" applyFont="1" applyBorder="1" applyAlignment="1">
      <alignment horizontal="left" vertical="center" indent="4"/>
    </xf>
    <xf numFmtId="176" fontId="28" fillId="0" borderId="17" xfId="21" applyFont="1" applyBorder="1" applyAlignment="1">
      <alignment horizontal="left" vertical="top" wrapText="1"/>
    </xf>
    <xf numFmtId="176" fontId="2" fillId="0" borderId="17" xfId="0" applyFont="1" applyBorder="1" applyAlignment="1">
      <alignment horizontal="center" vertical="center" wrapText="1"/>
    </xf>
    <xf numFmtId="176" fontId="28" fillId="0" borderId="17" xfId="21" applyFont="1" applyBorder="1" applyAlignment="1">
      <alignment horizontal="left" vertical="center" wrapText="1"/>
    </xf>
    <xf numFmtId="176" fontId="1" fillId="0" borderId="17" xfId="0" applyFont="1" applyBorder="1" applyAlignment="1">
      <alignment horizontal="center" vertical="center"/>
    </xf>
    <xf numFmtId="49" fontId="28" fillId="0" borderId="17" xfId="21" quotePrefix="1" applyNumberFormat="1" applyFont="1" applyBorder="1" applyAlignment="1">
      <alignment horizontal="center" vertical="center"/>
    </xf>
    <xf numFmtId="0" fontId="37" fillId="0" borderId="17" xfId="18" applyFont="1" applyBorder="1" applyAlignment="1">
      <alignment horizontal="left" vertical="center" wrapText="1"/>
    </xf>
    <xf numFmtId="0" fontId="36" fillId="0" borderId="17" xfId="18" applyFont="1" applyBorder="1" applyAlignment="1">
      <alignment horizontal="left" vertical="center" wrapText="1"/>
    </xf>
    <xf numFmtId="176" fontId="0" fillId="0" borderId="0" xfId="0" applyAlignment="1">
      <alignment horizontal="center" vertical="center"/>
    </xf>
    <xf numFmtId="176" fontId="28" fillId="0" borderId="18" xfId="21" applyFont="1" applyBorder="1" applyAlignment="1">
      <alignment horizontal="left" vertical="top" wrapText="1"/>
    </xf>
    <xf numFmtId="176" fontId="0" fillId="0" borderId="17" xfId="0" applyBorder="1" applyAlignment="1">
      <alignment horizontal="center" vertical="center"/>
    </xf>
    <xf numFmtId="176" fontId="39" fillId="0" borderId="0" xfId="0" applyFont="1" applyAlignment="1">
      <alignment horizontal="left" vertical="top" indent="1"/>
    </xf>
    <xf numFmtId="0" fontId="28" fillId="0" borderId="19" xfId="21" applyNumberFormat="1" applyFont="1" applyBorder="1" applyAlignment="1">
      <alignment horizontal="center" vertical="center"/>
    </xf>
    <xf numFmtId="14" fontId="28" fillId="0" borderId="19" xfId="21" applyNumberFormat="1" applyFont="1" applyBorder="1" applyAlignment="1">
      <alignment horizontal="center" vertical="center"/>
    </xf>
    <xf numFmtId="14" fontId="34" fillId="0" borderId="19" xfId="20" applyNumberFormat="1" applyFont="1" applyBorder="1" applyAlignment="1">
      <alignment horizontal="center" vertical="center"/>
    </xf>
    <xf numFmtId="176" fontId="32" fillId="0" borderId="19" xfId="20" applyFont="1" applyBorder="1" applyAlignment="1">
      <alignment horizontal="center" vertical="center"/>
    </xf>
    <xf numFmtId="176" fontId="28" fillId="0" borderId="19" xfId="21" applyFont="1" applyBorder="1" applyAlignment="1">
      <alignment horizontal="center" vertical="center"/>
    </xf>
    <xf numFmtId="176" fontId="28" fillId="0" borderId="19" xfId="21" applyFont="1" applyBorder="1" applyAlignment="1">
      <alignment horizontal="center" vertical="center" wrapText="1"/>
    </xf>
    <xf numFmtId="49" fontId="28" fillId="0" borderId="19" xfId="21" quotePrefix="1" applyNumberFormat="1" applyFont="1" applyBorder="1" applyAlignment="1">
      <alignment horizontal="center" vertical="center"/>
    </xf>
    <xf numFmtId="14" fontId="28" fillId="0" borderId="17" xfId="21" applyNumberFormat="1" applyFont="1" applyBorder="1" applyAlignment="1">
      <alignment horizontal="center" vertical="center" wrapText="1"/>
    </xf>
    <xf numFmtId="176" fontId="41" fillId="10" borderId="17" xfId="0" applyFont="1" applyFill="1" applyBorder="1" applyAlignment="1">
      <alignment horizontal="center" vertical="center"/>
    </xf>
    <xf numFmtId="176" fontId="41" fillId="9" borderId="17" xfId="0" applyFont="1" applyFill="1" applyBorder="1" applyAlignment="1">
      <alignment horizontal="center" vertical="center"/>
    </xf>
    <xf numFmtId="1" fontId="41" fillId="9" borderId="17" xfId="0" applyNumberFormat="1" applyFont="1" applyFill="1" applyBorder="1" applyAlignment="1">
      <alignment horizontal="center" vertical="center" wrapText="1"/>
    </xf>
    <xf numFmtId="176" fontId="44" fillId="5" borderId="0" xfId="0" applyFont="1" applyFill="1">
      <alignment vertical="center"/>
    </xf>
    <xf numFmtId="176" fontId="45" fillId="5" borderId="0" xfId="0" applyFont="1" applyFill="1">
      <alignment vertical="center"/>
    </xf>
    <xf numFmtId="1" fontId="0" fillId="0" borderId="0" xfId="0" applyNumberFormat="1" applyAlignment="1">
      <alignment horizontal="center" vertical="center"/>
    </xf>
    <xf numFmtId="0" fontId="55" fillId="0" borderId="17" xfId="33" applyFont="1" applyBorder="1" applyAlignment="1">
      <alignment horizontal="center" vertical="center"/>
    </xf>
    <xf numFmtId="0" fontId="55" fillId="0" borderId="17" xfId="39" applyFont="1" applyBorder="1" applyAlignment="1">
      <alignment horizontal="center" vertical="center"/>
    </xf>
    <xf numFmtId="1" fontId="41" fillId="9" borderId="17" xfId="0" applyNumberFormat="1" applyFont="1" applyFill="1" applyBorder="1" applyAlignment="1">
      <alignment horizontal="center" vertical="center"/>
    </xf>
    <xf numFmtId="0" fontId="34" fillId="0" borderId="17" xfId="39" applyFont="1" applyBorder="1" applyAlignment="1">
      <alignment horizontal="center" vertical="center"/>
    </xf>
    <xf numFmtId="0" fontId="73" fillId="0" borderId="17" xfId="51" applyBorder="1" applyAlignment="1">
      <alignment horizontal="center" vertical="center"/>
    </xf>
    <xf numFmtId="176" fontId="0" fillId="11" borderId="17" xfId="0" applyFill="1" applyBorder="1" applyAlignment="1">
      <alignment horizontal="center" vertical="center"/>
    </xf>
    <xf numFmtId="0" fontId="73" fillId="11" borderId="17" xfId="51" applyFill="1" applyBorder="1" applyAlignment="1">
      <alignment horizontal="center" vertical="center"/>
    </xf>
    <xf numFmtId="176" fontId="0" fillId="11" borderId="0" xfId="0" applyFill="1" applyAlignment="1">
      <alignment horizontal="center" vertical="center"/>
    </xf>
    <xf numFmtId="14" fontId="74" fillId="0" borderId="17" xfId="52" applyNumberFormat="1" applyBorder="1" applyAlignment="1">
      <alignment horizontal="center" vertical="center"/>
    </xf>
    <xf numFmtId="0" fontId="74" fillId="0" borderId="17" xfId="52" applyBorder="1" applyAlignment="1">
      <alignment horizontal="center" vertical="center"/>
    </xf>
    <xf numFmtId="1" fontId="74" fillId="0" borderId="17" xfId="52" applyNumberFormat="1" applyBorder="1" applyAlignment="1">
      <alignment horizontal="center" vertical="center"/>
    </xf>
    <xf numFmtId="179" fontId="74" fillId="0" borderId="17" xfId="52" applyNumberFormat="1" applyBorder="1" applyAlignment="1">
      <alignment horizontal="center" vertical="center"/>
    </xf>
    <xf numFmtId="1" fontId="28" fillId="0" borderId="17" xfId="21" applyNumberFormat="1" applyFont="1" applyBorder="1" applyAlignment="1">
      <alignment horizontal="center" vertical="center" wrapText="1"/>
    </xf>
    <xf numFmtId="12" fontId="27" fillId="0" borderId="16" xfId="20" applyNumberFormat="1" applyFont="1" applyBorder="1" applyAlignment="1">
      <alignment horizontal="center" vertical="center" wrapText="1"/>
    </xf>
    <xf numFmtId="176" fontId="21" fillId="3" borderId="0" xfId="0" applyFont="1" applyFill="1" applyAlignment="1">
      <alignment horizontal="center" vertical="center"/>
    </xf>
    <xf numFmtId="176" fontId="19" fillId="5" borderId="0" xfId="0" applyFont="1" applyFill="1" applyAlignment="1">
      <alignment horizontal="center" vertical="center"/>
    </xf>
    <xf numFmtId="176" fontId="21" fillId="4" borderId="0" xfId="0" applyFont="1" applyFill="1" applyAlignment="1">
      <alignment horizontal="center" vertical="center"/>
    </xf>
    <xf numFmtId="176" fontId="21" fillId="3" borderId="17" xfId="0" applyFont="1" applyFill="1" applyBorder="1" applyAlignment="1">
      <alignment horizontal="center" vertical="center"/>
    </xf>
    <xf numFmtId="176" fontId="21" fillId="7" borderId="0" xfId="0" applyFont="1" applyFill="1" applyAlignment="1">
      <alignment horizontal="center" vertical="center"/>
    </xf>
    <xf numFmtId="0" fontId="25" fillId="2" borderId="5" xfId="19" applyFont="1" applyFill="1" applyBorder="1" applyAlignment="1">
      <alignment horizontal="left" vertical="center"/>
    </xf>
    <xf numFmtId="176" fontId="23" fillId="2" borderId="1" xfId="1" applyFont="1" applyFill="1" applyBorder="1" applyAlignment="1">
      <alignment horizontal="center" vertical="center"/>
    </xf>
    <xf numFmtId="176" fontId="23" fillId="2" borderId="5" xfId="1" applyFont="1" applyFill="1" applyBorder="1" applyAlignment="1">
      <alignment horizontal="center" vertical="center" wrapText="1"/>
    </xf>
    <xf numFmtId="176" fontId="23" fillId="2" borderId="6" xfId="1" applyFont="1" applyFill="1" applyBorder="1" applyAlignment="1">
      <alignment horizontal="center" vertical="center" wrapText="1"/>
    </xf>
    <xf numFmtId="176" fontId="23" fillId="2" borderId="7" xfId="1" applyFont="1" applyFill="1" applyBorder="1" applyAlignment="1">
      <alignment horizontal="center" vertical="center" wrapText="1"/>
    </xf>
    <xf numFmtId="176" fontId="25" fillId="2" borderId="1" xfId="6" applyFont="1" applyFill="1" applyBorder="1" applyAlignment="1">
      <alignment horizontal="center" wrapText="1"/>
    </xf>
    <xf numFmtId="176" fontId="25" fillId="2" borderId="8" xfId="6" applyFont="1" applyFill="1" applyBorder="1" applyAlignment="1">
      <alignment horizontal="center" wrapText="1"/>
    </xf>
    <xf numFmtId="176" fontId="25" fillId="2" borderId="5" xfId="6" applyFont="1" applyFill="1" applyBorder="1" applyAlignment="1">
      <alignment horizontal="center" vertical="center" wrapText="1"/>
    </xf>
    <xf numFmtId="176" fontId="25" fillId="2" borderId="6" xfId="6" applyFont="1" applyFill="1" applyBorder="1" applyAlignment="1">
      <alignment horizontal="center" vertical="center" wrapText="1"/>
    </xf>
    <xf numFmtId="176" fontId="25" fillId="2" borderId="15" xfId="6" applyFont="1" applyFill="1" applyBorder="1" applyAlignment="1">
      <alignment horizontal="center" vertical="center" wrapText="1"/>
    </xf>
    <xf numFmtId="0" fontId="25" fillId="2" borderId="7" xfId="19" applyFont="1" applyFill="1" applyBorder="1" applyAlignment="1">
      <alignment horizontal="left" vertical="center"/>
    </xf>
    <xf numFmtId="0" fontId="25" fillId="6" borderId="9" xfId="19" applyFont="1" applyFill="1" applyBorder="1" applyAlignment="1">
      <alignment horizontal="left" vertical="center" wrapText="1"/>
    </xf>
    <xf numFmtId="178" fontId="28" fillId="0" borderId="17" xfId="21" applyNumberFormat="1" applyFont="1" applyBorder="1" applyAlignment="1">
      <alignment horizontal="center" vertical="center"/>
    </xf>
    <xf numFmtId="178" fontId="28" fillId="0" borderId="17" xfId="21" quotePrefix="1" applyNumberFormat="1" applyFont="1" applyBorder="1" applyAlignment="1">
      <alignment horizontal="center" vertical="center"/>
    </xf>
  </cellXfs>
  <cellStyles count="53">
    <cellStyle name="Normal 10" xfId="31" xr:uid="{F3A01C76-5D13-48DD-BA8B-995011C9C313}"/>
    <cellStyle name="Normal 11" xfId="32" xr:uid="{06338CE8-7E39-4CC3-B744-CD5CF7E73F2E}"/>
    <cellStyle name="Normal 12" xfId="33" xr:uid="{93A8A307-1A12-496A-A9D1-B2CE10BEBF7C}"/>
    <cellStyle name="Normal 13" xfId="34" xr:uid="{7BBC292D-DC50-472A-9268-3FDCE5A88597}"/>
    <cellStyle name="Normal 14" xfId="35" xr:uid="{E367DEE0-423E-4F3D-94C4-CA20A464138A}"/>
    <cellStyle name="Normal 15" xfId="36" xr:uid="{427B346D-C2C7-486D-BB27-976FC21050D7}"/>
    <cellStyle name="Normal 16" xfId="37" xr:uid="{770C4A58-D2A1-4DFF-B048-417E1FEA0D11}"/>
    <cellStyle name="Normal 17" xfId="38" xr:uid="{2C233D9F-3B21-4D94-80BE-199FBF0EE21D}"/>
    <cellStyle name="Normal 18" xfId="39" xr:uid="{5499F388-2781-42C4-A317-9AF2EF016EFC}"/>
    <cellStyle name="Normal 19" xfId="40" xr:uid="{F29A0B58-C540-4510-80F0-E1FCFBD030CF}"/>
    <cellStyle name="Normal 2" xfId="23" xr:uid="{13F9CB90-D94E-4A1A-87ED-4B9455ACDE1B}"/>
    <cellStyle name="Normal 20" xfId="41" xr:uid="{858AD545-6EE3-4161-949C-8AE4B9404067}"/>
    <cellStyle name="Normal 21" xfId="42" xr:uid="{57FF2765-8806-4DBA-AE35-B2D8401E52E4}"/>
    <cellStyle name="Normal 22" xfId="43" xr:uid="{F3786D58-BC7D-4551-A69A-F0E737B2BDEB}"/>
    <cellStyle name="Normal 23" xfId="44" xr:uid="{1C949FDE-DFD9-4FA6-896D-83FF1FAAB153}"/>
    <cellStyle name="Normal 24" xfId="45" xr:uid="{22444251-FFCF-4046-836A-9C37D02E31FD}"/>
    <cellStyle name="Normal 25" xfId="46" xr:uid="{F3588765-1EE0-449A-981E-B1678C5ED40C}"/>
    <cellStyle name="Normal 26" xfId="47" xr:uid="{B56BDBD2-7CF4-406C-960E-A1CD7326662B}"/>
    <cellStyle name="Normal 27" xfId="48" xr:uid="{A14CD3BC-63FF-49C5-8D22-B3DAA1D04461}"/>
    <cellStyle name="Normal 28" xfId="49" xr:uid="{2F8813E3-DCB6-469F-8F54-A2FA85507C01}"/>
    <cellStyle name="Normal 29" xfId="50" xr:uid="{3FAA38DE-802E-47E3-83DF-22611A8C6384}"/>
    <cellStyle name="Normal 3" xfId="24" xr:uid="{C911FA8A-0031-438A-B4AD-53E61DF790A4}"/>
    <cellStyle name="Normal 30" xfId="51" xr:uid="{4D6B04CD-9610-46E2-82BB-B7D9C0A2E055}"/>
    <cellStyle name="Normal 31" xfId="52" xr:uid="{FA6A9E6A-8F5C-4403-9E08-B53C661462BB}"/>
    <cellStyle name="Normal 4" xfId="25" xr:uid="{22D193F3-30A4-4E30-9CFA-B5791207F3B2}"/>
    <cellStyle name="Normal 5" xfId="26" xr:uid="{16B73DF9-5959-4CE3-87FF-92723A1A19D3}"/>
    <cellStyle name="Normal 6" xfId="27" xr:uid="{14D20EC7-D45D-4C0B-999F-A05408EA5BC0}"/>
    <cellStyle name="Normal 7" xfId="28" xr:uid="{F9EC067F-A161-4CB4-8069-96BAF1020A5C}"/>
    <cellStyle name="Normal 8" xfId="29" xr:uid="{FCF7BD71-5480-419B-807C-1D4D0BE0454B}"/>
    <cellStyle name="Normal 9" xfId="30" xr:uid="{787A1C85-EC52-4BD0-B5E3-AC48F36C06C9}"/>
    <cellStyle name="一般" xfId="0" builtinId="0"/>
    <cellStyle name="一般 2" xfId="1" xr:uid="{00000000-0005-0000-0000-000001000000}"/>
    <cellStyle name="一般 2 2" xfId="2" xr:uid="{00000000-0005-0000-0000-000002000000}"/>
    <cellStyle name="一般 2 2 2" xfId="21" xr:uid="{8BD94FC7-C202-41F5-8786-ECB83AA13A68}"/>
    <cellStyle name="一般 2 3" xfId="3" xr:uid="{00000000-0005-0000-0000-000003000000}"/>
    <cellStyle name="一般 2 4" xfId="19" xr:uid="{DF26A8E8-0A2D-4008-9EF9-4F486E52E6B4}"/>
    <cellStyle name="一般 2 5" xfId="20" xr:uid="{DCF9EB11-A1DE-4973-88F5-3B7FA3736A5F}"/>
    <cellStyle name="一般 3" xfId="4" xr:uid="{00000000-0005-0000-0000-000004000000}"/>
    <cellStyle name="一般 4" xfId="5" xr:uid="{00000000-0005-0000-0000-000005000000}"/>
    <cellStyle name="一般 4 2" xfId="22" xr:uid="{48088438-E5FC-4098-930E-7F097AD48322}"/>
    <cellStyle name="一般 5" xfId="18" xr:uid="{6F32A22E-0F95-4870-9853-A705BE09AA6B}"/>
    <cellStyle name="一般_IQC和OQC總進料批和總允收批-2012.07.05" xfId="6" xr:uid="{00000000-0005-0000-0000-000006000000}"/>
    <cellStyle name="百分比 2" xfId="7" xr:uid="{00000000-0005-0000-0000-000007000000}"/>
    <cellStyle name="百分比 3" xfId="8" xr:uid="{00000000-0005-0000-0000-000008000000}"/>
    <cellStyle name="樣式 1" xfId="9" xr:uid="{00000000-0005-0000-0000-000009000000}"/>
    <cellStyle name="樣式 2" xfId="10" xr:uid="{00000000-0005-0000-0000-00000A000000}"/>
    <cellStyle name="樣式 3" xfId="11" xr:uid="{00000000-0005-0000-0000-00000B000000}"/>
    <cellStyle name="樣式 4" xfId="12" xr:uid="{00000000-0005-0000-0000-00000C000000}"/>
    <cellStyle name="樣式 5" xfId="13" xr:uid="{00000000-0005-0000-0000-00000D000000}"/>
    <cellStyle name="樣式 6" xfId="14" xr:uid="{00000000-0005-0000-0000-00000E000000}"/>
    <cellStyle name="樣式 7" xfId="15" xr:uid="{00000000-0005-0000-0000-00000F000000}"/>
    <cellStyle name="樣式 8" xfId="16" xr:uid="{00000000-0005-0000-0000-000010000000}"/>
    <cellStyle name="樣式 9" xfId="17" xr:uid="{00000000-0005-0000-0000-000011000000}"/>
  </cellStyles>
  <dxfs count="0"/>
  <tableStyles count="0" defaultTableStyle="TableStyleMedium9" defaultPivotStyle="PivotStyleLight16"/>
  <colors>
    <mruColors>
      <color rgb="FF0000FF"/>
      <color rgb="FFFFFF99"/>
      <color rgb="FF99CCFF"/>
      <color rgb="FF000099"/>
      <color rgb="FFCCFF33"/>
      <color rgb="FF99FF33"/>
      <color rgb="FF99FF66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824470646646573E-2"/>
          <c:y val="6.2689325147316552E-2"/>
          <c:w val="0.94248346986831788"/>
          <c:h val="0.81894078918101343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'LCS Quality Status Table'!$B$5</c:f>
              <c:strCache>
                <c:ptCount val="1"/>
                <c:pt idx="0">
                  <c:v>Fail Q'ty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effectLst>
              <a:outerShdw blurRad="88900" dist="76200" algn="ctr" rotWithShape="0">
                <a:schemeClr val="bg1">
                  <a:lumMod val="85000"/>
                  <a:alpha val="4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2.0936884535646752E-3"/>
                  <c:y val="-3.532977902893350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D8-4301-90F5-77AEA6757B8C}"/>
                </c:ext>
              </c:extLst>
            </c:dLbl>
            <c:dLbl>
              <c:idx val="1"/>
              <c:layout>
                <c:manualLayout>
                  <c:x val="-1.0713000967663873E-3"/>
                  <c:y val="-3.265717482185457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D8-4301-90F5-77AEA6757B8C}"/>
                </c:ext>
              </c:extLst>
            </c:dLbl>
            <c:dLbl>
              <c:idx val="2"/>
              <c:layout>
                <c:manualLayout>
                  <c:x val="5.9941697234960488E-4"/>
                  <c:y val="-4.317214541975842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/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3295880149812735E-2"/>
                      <c:h val="9.33007029462508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1A2-4388-B8E5-352D4AD0DC38}"/>
                </c:ext>
              </c:extLst>
            </c:dLbl>
            <c:dLbl>
              <c:idx val="3"/>
              <c:layout>
                <c:manualLayout>
                  <c:x val="0"/>
                  <c:y val="-5.75815448881643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CE-483E-8A11-366B508D846C}"/>
                </c:ext>
              </c:extLst>
            </c:dLbl>
            <c:dLbl>
              <c:idx val="4"/>
              <c:layout>
                <c:manualLayout>
                  <c:x val="3.4964813338763322E-4"/>
                  <c:y val="-5.53117896363385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98-435E-8882-E10360FBA1A1}"/>
                </c:ext>
              </c:extLst>
            </c:dLbl>
            <c:dLbl>
              <c:idx val="5"/>
              <c:layout>
                <c:manualLayout>
                  <c:x val="0"/>
                  <c:y val="-3.8387696592109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D3-4ED6-BFCF-8335A55C78E3}"/>
                </c:ext>
              </c:extLst>
            </c:dLbl>
            <c:dLbl>
              <c:idx val="6"/>
              <c:layout>
                <c:manualLayout>
                  <c:x val="0"/>
                  <c:y val="-5.04572439419026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3C-4819-AF24-5181CCFDAC66}"/>
                </c:ext>
              </c:extLst>
            </c:dLbl>
            <c:dLbl>
              <c:idx val="7"/>
              <c:layout>
                <c:manualLayout>
                  <c:x val="0"/>
                  <c:y val="-3.8387696592109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98B-4E9E-AF9A-079DA7A460D7}"/>
                </c:ext>
              </c:extLst>
            </c:dLbl>
            <c:dLbl>
              <c:idx val="8"/>
              <c:layout>
                <c:manualLayout>
                  <c:x val="0"/>
                  <c:y val="-2.559179772807304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8B-4E9E-AF9A-079DA7A460D7}"/>
                </c:ext>
              </c:extLst>
            </c:dLbl>
            <c:dLbl>
              <c:idx val="9"/>
              <c:layout>
                <c:manualLayout>
                  <c:x val="9.9770527786091981E-4"/>
                  <c:y val="-3.19897471600913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8B-4E9E-AF9A-079DA7A460D7}"/>
                </c:ext>
              </c:extLst>
            </c:dLbl>
            <c:dLbl>
              <c:idx val="11"/>
              <c:layout>
                <c:manualLayout>
                  <c:x val="0"/>
                  <c:y val="1.44830097187800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92-4EC0-BB0D-3B1B98142440}"/>
                </c:ext>
              </c:extLst>
            </c:dLbl>
            <c:dLbl>
              <c:idx val="12"/>
              <c:layout>
                <c:manualLayout>
                  <c:x val="-1.6156088607665821E-16"/>
                  <c:y val="2.10511508210693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92-4EC0-BB0D-3B1B981424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'LCS Quality Status Table'!#REF!</c:f>
            </c:multiLvlStrRef>
          </c:cat>
          <c:val>
            <c:numRef>
              <c:f>'LCS Quality Status Table'!$C$5:$BC$5</c:f>
              <c:numCache>
                <c:formatCode>0_);[Red]\(0\)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0-4CB1-BF6E-C53F4021E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266271"/>
        <c:axId val="244194095"/>
      </c:barChart>
      <c:lineChart>
        <c:grouping val="standard"/>
        <c:varyColors val="0"/>
        <c:ser>
          <c:idx val="1"/>
          <c:order val="0"/>
          <c:tx>
            <c:strRef>
              <c:f>'LCS Quality Status Table'!$B$7</c:f>
              <c:strCache>
                <c:ptCount val="1"/>
                <c:pt idx="0">
                  <c:v>Failure Rate</c:v>
                </c:pt>
              </c:strCache>
            </c:strRef>
          </c:tx>
          <c:spPr>
            <a:ln w="12700">
              <a:solidFill>
                <a:srgbClr val="FF0000"/>
              </a:solidFill>
            </a:ln>
            <a:effectLst>
              <a:outerShdw blurRad="50800" dist="38100" dir="5400000" algn="t" rotWithShape="0">
                <a:schemeClr val="bg1">
                  <a:lumMod val="85000"/>
                  <a:alpha val="40000"/>
                </a:schemeClr>
              </a:outerShdw>
            </a:effectLst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1.9298602576588254E-2"/>
                  <c:y val="-0.1988562490397891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176-47CA-B0F6-7661FF1365FB}"/>
                </c:ext>
              </c:extLst>
            </c:dLbl>
            <c:dLbl>
              <c:idx val="1"/>
              <c:layout>
                <c:manualLayout>
                  <c:x val="-2.1728470894401913E-2"/>
                  <c:y val="-0.200709309155734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F7-4C0C-93C7-C5C7B85EF913}"/>
                </c:ext>
              </c:extLst>
            </c:dLbl>
            <c:dLbl>
              <c:idx val="2"/>
              <c:layout>
                <c:manualLayout>
                  <c:x val="-2.0555033300373286E-2"/>
                  <c:y val="-0.216282188827822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15-4A99-BD1E-37AC584D1F15}"/>
                </c:ext>
              </c:extLst>
            </c:dLbl>
            <c:dLbl>
              <c:idx val="3"/>
              <c:layout>
                <c:manualLayout>
                  <c:x val="-2.2071833208816609E-2"/>
                  <c:y val="-0.221437060046518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95-4783-B5B1-BE5EA37055CB}"/>
                </c:ext>
              </c:extLst>
            </c:dLbl>
            <c:dLbl>
              <c:idx val="4"/>
              <c:layout>
                <c:manualLayout>
                  <c:x val="-1.676597433688997E-2"/>
                  <c:y val="-0.200586807204926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398-435E-8882-E10360FBA1A1}"/>
                </c:ext>
              </c:extLst>
            </c:dLbl>
            <c:dLbl>
              <c:idx val="5"/>
              <c:layout>
                <c:manualLayout>
                  <c:x val="-1.9044374333465987E-2"/>
                  <c:y val="-0.2333537650111425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095-4783-B5B1-BE5EA37055CB}"/>
                </c:ext>
              </c:extLst>
            </c:dLbl>
            <c:dLbl>
              <c:idx val="6"/>
              <c:layout>
                <c:manualLayout>
                  <c:x val="-2.1071503091402276E-2"/>
                  <c:y val="-0.249350277496508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72-462C-853F-9BBFD6B6DA22}"/>
                </c:ext>
              </c:extLst>
            </c:dLbl>
            <c:dLbl>
              <c:idx val="7"/>
              <c:layout>
                <c:manualLayout>
                  <c:x val="-2.0076422653094731E-2"/>
                  <c:y val="-0.244624250300927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4021767602909515E-2"/>
                      <c:h val="9.98688440485401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372-462C-853F-9BBFD6B6DA22}"/>
                </c:ext>
              </c:extLst>
            </c:dLbl>
            <c:dLbl>
              <c:idx val="8"/>
              <c:layout>
                <c:manualLayout>
                  <c:x val="-1.9065362265215349E-2"/>
                  <c:y val="-0.222648700539987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74-4A3F-B1EE-A66F06F01C01}"/>
                </c:ext>
              </c:extLst>
            </c:dLbl>
            <c:dLbl>
              <c:idx val="9"/>
              <c:layout>
                <c:manualLayout>
                  <c:x val="-1.4144454075701092E-2"/>
                  <c:y val="-0.2200483707830878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61-4374-AB5A-D8F8CD8989C9}"/>
                </c:ext>
              </c:extLst>
            </c:dLbl>
            <c:dLbl>
              <c:idx val="10"/>
              <c:layout>
                <c:manualLayout>
                  <c:x val="-1.9647330824143838E-2"/>
                  <c:y val="-0.1758957507036484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47-49BE-B8DE-3A9BB5106F9E}"/>
                </c:ext>
              </c:extLst>
            </c:dLbl>
            <c:dLbl>
              <c:idx val="11"/>
              <c:layout>
                <c:manualLayout>
                  <c:x val="-2.1074127930955651E-2"/>
                  <c:y val="-0.161779456133996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88F-4DD4-A495-D52A5186B265}"/>
                </c:ext>
              </c:extLst>
            </c:dLbl>
            <c:dLbl>
              <c:idx val="12"/>
              <c:layout>
                <c:manualLayout>
                  <c:x val="-2.4253743947974776E-2"/>
                  <c:y val="-0.160125812904815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22489604529771E-2"/>
                      <c:h val="9.98688440485401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492-4EC0-BB0D-3B1B98142440}"/>
                </c:ext>
              </c:extLst>
            </c:dLbl>
            <c:dLbl>
              <c:idx val="13"/>
              <c:layout>
                <c:manualLayout>
                  <c:x val="-1.9632325965240578E-2"/>
                  <c:y val="-0.167556250318008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C6-4768-927E-6EEB0DC758AC}"/>
                </c:ext>
              </c:extLst>
            </c:dLbl>
            <c:dLbl>
              <c:idx val="14"/>
              <c:layout>
                <c:manualLayout>
                  <c:x val="-1.7651920268421998E-2"/>
                  <c:y val="-0.1694978012716302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D3-4ED6-BFCF-8335A55C78E3}"/>
                </c:ext>
              </c:extLst>
            </c:dLbl>
            <c:dLbl>
              <c:idx val="15"/>
              <c:layout>
                <c:manualLayout>
                  <c:x val="-2.2843629485725887E-2"/>
                  <c:y val="-0.1143064828961898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8E-466E-84BF-02167FFD0252}"/>
                </c:ext>
              </c:extLst>
            </c:dLbl>
            <c:dLbl>
              <c:idx val="16"/>
              <c:layout>
                <c:manualLayout>
                  <c:x val="-2.2625440958759971E-2"/>
                  <c:y val="-0.12919729785943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6C-4310-819B-CEA34522CF04}"/>
                </c:ext>
              </c:extLst>
            </c:dLbl>
            <c:dLbl>
              <c:idx val="17"/>
              <c:layout>
                <c:manualLayout>
                  <c:x val="-2.2625440958759971E-2"/>
                  <c:y val="-0.1227703772602391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C6-4768-927E-6EEB0DC758AC}"/>
                </c:ext>
              </c:extLst>
            </c:dLbl>
            <c:dLbl>
              <c:idx val="18"/>
              <c:layout>
                <c:manualLayout>
                  <c:x val="-1.9647330824143838E-2"/>
                  <c:y val="-0.1375080541115389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D3-4ED6-BFCF-8335A55C78E3}"/>
                </c:ext>
              </c:extLst>
            </c:dLbl>
            <c:dLbl>
              <c:idx val="19"/>
              <c:layout>
                <c:manualLayout>
                  <c:x val="-2.3705800022474872E-2"/>
                  <c:y val="-0.116343456661047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C6-4768-927E-6EEB0DC758AC}"/>
                </c:ext>
              </c:extLst>
            </c:dLbl>
            <c:dLbl>
              <c:idx val="21"/>
              <c:layout>
                <c:manualLayout>
                  <c:x val="-1.9384363767615275E-2"/>
                  <c:y val="-0.1227703772602391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4C6-4768-927E-6EEB0DC758AC}"/>
                </c:ext>
              </c:extLst>
            </c:dLbl>
            <c:dLbl>
              <c:idx val="22"/>
              <c:layout>
                <c:manualLayout>
                  <c:x val="-2.262544095876013E-2"/>
                  <c:y val="-0.1227703772602391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C6-4768-927E-6EEB0DC758AC}"/>
                </c:ext>
              </c:extLst>
            </c:dLbl>
            <c:dLbl>
              <c:idx val="23"/>
              <c:layout>
                <c:manualLayout>
                  <c:x val="-2.262544095876013E-2"/>
                  <c:y val="-0.12919729785943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3C-40AA-B093-EE90381730C3}"/>
                </c:ext>
              </c:extLst>
            </c:dLbl>
            <c:dLbl>
              <c:idx val="25"/>
              <c:layout>
                <c:manualLayout>
                  <c:x val="-2.3705800022474872E-2"/>
                  <c:y val="-0.154904980256196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9E-44D4-8A4C-D3771BFC62BF}"/>
                </c:ext>
              </c:extLst>
            </c:dLbl>
            <c:dLbl>
              <c:idx val="26"/>
              <c:layout>
                <c:manualLayout>
                  <c:x val="-2.262544095876013E-2"/>
                  <c:y val="-0.12919729785943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39-4061-A4AE-2235C1540F84}"/>
                </c:ext>
              </c:extLst>
            </c:dLbl>
            <c:dLbl>
              <c:idx val="28"/>
              <c:layout>
                <c:manualLayout>
                  <c:x val="-2.262544095876013E-2"/>
                  <c:y val="-0.135624218458622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39-4061-A4AE-2235C1540F84}"/>
                </c:ext>
              </c:extLst>
            </c:dLbl>
            <c:dLbl>
              <c:idx val="29"/>
              <c:layout>
                <c:manualLayout>
                  <c:x val="-2.2843629485725887E-2"/>
                  <c:y val="-0.1395640680025676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8D-4A4E-A978-2E942344978B}"/>
                </c:ext>
              </c:extLst>
            </c:dLbl>
            <c:dLbl>
              <c:idx val="31"/>
              <c:layout>
                <c:manualLayout>
                  <c:x val="-2.2625440958759971E-2"/>
                  <c:y val="-0.135624218458622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20-4D3F-9858-A2350A51BBCC}"/>
                </c:ext>
              </c:extLst>
            </c:dLbl>
            <c:dLbl>
              <c:idx val="33"/>
              <c:layout>
                <c:manualLayout>
                  <c:x val="-2.2125838692523939E-2"/>
                  <c:y val="-0.135624218458622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9A5-4A50-B248-CED0C0E7FF0B}"/>
                </c:ext>
              </c:extLst>
            </c:dLbl>
            <c:dLbl>
              <c:idx val="35"/>
              <c:layout>
                <c:manualLayout>
                  <c:x val="-2.152942944876763E-2"/>
                  <c:y val="-0.118849955694732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39-4C8E-A745-2BF58BCF5DCF}"/>
                </c:ext>
              </c:extLst>
            </c:dLbl>
            <c:dLbl>
              <c:idx val="36"/>
              <c:layout>
                <c:manualLayout>
                  <c:x val="-2.0095274058596804E-2"/>
                  <c:y val="-0.125276876293923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5C-4FE4-9AE8-E75B4B8483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'LCS Quality Status Table'!$C$4:$BC$4</c:f>
              <c:strCache>
                <c:ptCount val="17"/>
                <c:pt idx="0">
                  <c:v>WK01</c:v>
                </c:pt>
                <c:pt idx="1">
                  <c:v>WK02</c:v>
                </c:pt>
                <c:pt idx="2">
                  <c:v>WK03</c:v>
                </c:pt>
                <c:pt idx="3">
                  <c:v>WK04</c:v>
                </c:pt>
                <c:pt idx="4">
                  <c:v>WK05</c:v>
                </c:pt>
                <c:pt idx="5">
                  <c:v>WK06</c:v>
                </c:pt>
                <c:pt idx="6">
                  <c:v>WK07</c:v>
                </c:pt>
                <c:pt idx="7">
                  <c:v>WK08</c:v>
                </c:pt>
                <c:pt idx="8">
                  <c:v>WK09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  <c:pt idx="12">
                  <c:v>WK13</c:v>
                </c:pt>
                <c:pt idx="13">
                  <c:v>WK14</c:v>
                </c:pt>
                <c:pt idx="14">
                  <c:v>WK15</c:v>
                </c:pt>
                <c:pt idx="15">
                  <c:v>WK16</c:v>
                </c:pt>
                <c:pt idx="16">
                  <c:v>WK17</c:v>
                </c:pt>
              </c:strCache>
            </c:strRef>
          </c:cat>
          <c:val>
            <c:numRef>
              <c:f>'LCS Quality Status Table'!$C$7:$BC$7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D-445E-8EDB-33100DACD03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5310336"/>
        <c:axId val="175312256"/>
      </c:lineChart>
      <c:catAx>
        <c:axId val="17531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75312256"/>
        <c:crosses val="autoZero"/>
        <c:auto val="1"/>
        <c:lblAlgn val="ctr"/>
        <c:lblOffset val="100"/>
        <c:noMultiLvlLbl val="0"/>
      </c:catAx>
      <c:valAx>
        <c:axId val="175312256"/>
        <c:scaling>
          <c:orientation val="minMax"/>
          <c:max val="1"/>
          <c:min val="0"/>
        </c:scaling>
        <c:delete val="0"/>
        <c:axPos val="l"/>
        <c:numFmt formatCode="0.00%" sourceLinked="1"/>
        <c:majorTickMark val="out"/>
        <c:minorTickMark val="none"/>
        <c:tickLblPos val="nextTo"/>
        <c:spPr>
          <a:ln>
            <a:solidFill>
              <a:sysClr val="windowText" lastClr="000000">
                <a:tint val="75000"/>
                <a:shade val="95000"/>
                <a:satMod val="105000"/>
              </a:sys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175310336"/>
        <c:crosses val="autoZero"/>
        <c:crossBetween val="between"/>
        <c:majorUnit val="0.1"/>
      </c:valAx>
      <c:valAx>
        <c:axId val="244194095"/>
        <c:scaling>
          <c:orientation val="minMax"/>
          <c:max val="20"/>
        </c:scaling>
        <c:delete val="0"/>
        <c:axPos val="r"/>
        <c:numFmt formatCode="0_);[Red]\(0\)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50266271"/>
        <c:crosses val="max"/>
        <c:crossBetween val="between"/>
        <c:majorUnit val="2"/>
      </c:valAx>
      <c:catAx>
        <c:axId val="150266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4194095"/>
        <c:crosses val="autoZero"/>
        <c:auto val="1"/>
        <c:lblAlgn val="ctr"/>
        <c:lblOffset val="100"/>
        <c:noMultiLvlLbl val="0"/>
      </c:catAx>
      <c:spPr>
        <a:pattFill prst="pct10">
          <a:fgClr>
            <a:schemeClr val="bg1">
              <a:lumMod val="85000"/>
            </a:schemeClr>
          </a:fgClr>
          <a:bgClr>
            <a:schemeClr val="bg1"/>
          </a:bgClr>
        </a:pattFill>
        <a:ln>
          <a:noFill/>
        </a:ln>
      </c:spPr>
    </c:plotArea>
    <c:legend>
      <c:legendPos val="t"/>
      <c:layout>
        <c:manualLayout>
          <c:xMode val="edge"/>
          <c:yMode val="edge"/>
          <c:x val="0.41292915467522939"/>
          <c:y val="4.7409566523374299E-3"/>
          <c:w val="0.23182254234083263"/>
          <c:h val="0.12313860190584859"/>
        </c:manualLayout>
      </c:layout>
      <c:overlay val="0"/>
    </c:legend>
    <c:plotVisOnly val="1"/>
    <c:dispBlanksAs val="gap"/>
    <c:showDLblsOverMax val="0"/>
  </c:chart>
  <c:spPr>
    <a:pattFill prst="pct5">
      <a:fgClr>
        <a:schemeClr val="bg1">
          <a:lumMod val="85000"/>
        </a:schemeClr>
      </a:fgClr>
      <a:bgClr>
        <a:schemeClr val="bg1"/>
      </a:bgClr>
    </a:pattFill>
    <a:ln w="12700">
      <a:solidFill>
        <a:schemeClr val="tx1">
          <a:lumMod val="75000"/>
          <a:lumOff val="25000"/>
        </a:schemeClr>
      </a:solidFill>
    </a:ln>
  </c:spPr>
  <c:printSettings>
    <c:headerFooter/>
    <c:pageMargins b="0.75000000000000699" l="0.70000000000000062" r="0.70000000000000062" t="0.7500000000000069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819001360376281E-2"/>
          <c:y val="8.502089283318319E-2"/>
          <c:w val="0.93901168922986644"/>
          <c:h val="0.8023641663633752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'LCS Quality Status Table'!$B$11</c:f>
              <c:strCache>
                <c:ptCount val="1"/>
                <c:pt idx="0">
                  <c:v>Fail Q'ty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noFill/>
            </a:ln>
            <a:effectLst>
              <a:outerShdw blurRad="88900" dist="76200" algn="ctr" rotWithShape="0">
                <a:schemeClr val="bg1">
                  <a:lumMod val="85000"/>
                  <a:alpha val="4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9835480756464807E-3"/>
                  <c:y val="1.9800546693496384E-3"/>
                </c:manualLayout>
              </c:layout>
              <c:tx>
                <c:rich>
                  <a:bodyPr/>
                  <a:lstStyle/>
                  <a:p>
                    <a:fld id="{5FA5A81D-6CB5-452D-A930-F6F581F72283}" type="CELLRANGE">
                      <a:rPr lang="en-US" altLang="zh-TW" baseline="0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90F76AB8-1EFC-4C4F-8F52-D4523D70EEEB}" type="VALUE">
                      <a:rPr lang="en-US" altLang="zh-TW" baseline="0"/>
                      <a:pPr/>
                      <a:t>[值]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F60-438D-A5BF-D9665D80663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868156F-D333-4BA4-B334-4824804BC746}" type="CELLRANGE">
                      <a:rPr lang="en-US" altLang="zh-TW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CD3ECDF0-D2C9-4B9D-BF6F-FD11AF98EB1D}" type="VALUE">
                      <a:rPr lang="en-US" altLang="zh-TW" baseline="0"/>
                      <a:pPr/>
                      <a:t>[值]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06C-49D5-8A66-3070AE6A2FC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8A02025-3C91-4E23-B093-24B380EB528F}" type="CELLRANGE">
                      <a:rPr lang="en-US" altLang="zh-TW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CD401C94-8B4F-4BB2-8147-A75DFEC759D5}" type="VALUE">
                      <a:rPr lang="en-US" altLang="zh-TW" baseline="0"/>
                      <a:pPr/>
                      <a:t>[值]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06C-49D5-8A66-3070AE6A2FC6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900"/>
                    </a:pPr>
                    <a:fld id="{F18D11F4-B186-4516-BE2A-DCCD35792467}" type="CELLRANGE">
                      <a:rPr lang="en-US" altLang="zh-TW"/>
                      <a:pPr>
                        <a:defRPr sz="900"/>
                      </a:pPr>
                      <a:t>[CELLRANGE]</a:t>
                    </a:fld>
                    <a:r>
                      <a:rPr lang="en-US" baseline="0"/>
                      <a:t>
</a:t>
                    </a:r>
                    <a:fld id="{F0259BFC-F363-40D2-AFCD-4806C89CD0C5}" type="VALUE">
                      <a:rPr lang="en-US" altLang="zh-TW" baseline="0"/>
                      <a:pPr>
                        <a:defRPr sz="900"/>
                      </a:pPr>
                      <a:t>[值]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06C-49D5-8A66-3070AE6A2FC6}"/>
                </c:ext>
              </c:extLst>
            </c:dLbl>
            <c:dLbl>
              <c:idx val="4"/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900"/>
                    </a:pPr>
                    <a:fld id="{0EF84802-AE60-44F7-8719-5CEDD3C942DA}" type="CELLRANGE">
                      <a:rPr lang="en-US" altLang="zh-TW"/>
                      <a:pPr>
                        <a:defRPr sz="900"/>
                      </a:pPr>
                      <a:t>[CELLRANGE]</a:t>
                    </a:fld>
                    <a:r>
                      <a:rPr lang="en-US" baseline="0"/>
                      <a:t>
</a:t>
                    </a:r>
                    <a:fld id="{AB57F572-791E-445B-81BF-D802CBB1D93F}" type="VALUE">
                      <a:rPr lang="en-US" altLang="zh-TW" baseline="0"/>
                      <a:pPr>
                        <a:defRPr sz="900"/>
                      </a:pPr>
                      <a:t>[值]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06C-49D5-8A66-3070AE6A2FC6}"/>
                </c:ext>
              </c:extLst>
            </c:dLbl>
            <c:dLbl>
              <c:idx val="5"/>
              <c:layout>
                <c:manualLayout>
                  <c:x val="1.0022048506714773E-3"/>
                  <c:y val="1.1063884256886524E-4"/>
                </c:manualLayout>
              </c:layout>
              <c:tx>
                <c:rich>
                  <a:bodyPr/>
                  <a:lstStyle/>
                  <a:p>
                    <a:fld id="{6968AB4E-1893-464C-A7D8-EE488995F979}" type="CELLRANGE">
                      <a:rPr lang="en-US" altLang="zh-TW" baseline="0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1ADDF468-7EC8-444E-BEDD-7F38A6A45243}" type="VALUE">
                      <a:rPr lang="en-US" altLang="zh-TW" baseline="0"/>
                      <a:pPr/>
                      <a:t>[值]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970-466E-8A90-1B930E163DF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516872E-A598-414E-AD75-3BDEB47B4731}" type="CELLRANGE">
                      <a:rPr lang="en-US" altLang="zh-TW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7D2C8084-4781-4951-8522-EC3DA6169486}" type="VALUE">
                      <a:rPr lang="en-US" altLang="zh-TW" baseline="0"/>
                      <a:pPr/>
                      <a:t>[值]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06C-49D5-8A66-3070AE6A2FC6}"/>
                </c:ext>
              </c:extLst>
            </c:dLbl>
            <c:dLbl>
              <c:idx val="7"/>
              <c:layout>
                <c:manualLayout>
                  <c:x val="0"/>
                  <c:y val="-7.4438887578230431E-2"/>
                </c:manualLayout>
              </c:layout>
              <c:tx>
                <c:rich>
                  <a:bodyPr/>
                  <a:lstStyle/>
                  <a:p>
                    <a:fld id="{82EACC10-00F7-4F8F-A19E-8A648BA4C7DF}" type="CELLRANGE">
                      <a:rPr lang="en-US" altLang="zh-TW" baseline="0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BE079DA0-EFA1-4069-8C5A-AE863C0B6C22}" type="VALUE">
                      <a:rPr lang="en-US" altLang="zh-TW" baseline="0"/>
                      <a:pPr/>
                      <a:t>[值]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06C-49D5-8A66-3070AE6A2FC6}"/>
                </c:ext>
              </c:extLst>
            </c:dLbl>
            <c:dLbl>
              <c:idx val="8"/>
              <c:layout>
                <c:manualLayout>
                  <c:x val="-9.9770527786091981E-4"/>
                  <c:y val="-0.17463880776645738"/>
                </c:manualLayout>
              </c:layout>
              <c:tx>
                <c:rich>
                  <a:bodyPr/>
                  <a:lstStyle/>
                  <a:p>
                    <a:fld id="{953D17E4-49EC-4BDD-B5DF-927AAA0FA6E6}" type="CELLRANGE">
                      <a:rPr lang="en-US" altLang="zh-TW" baseline="0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C58D52BB-D588-4578-9837-BB7CFA39D962}" type="VALUE">
                      <a:rPr lang="en-US" altLang="zh-TW" baseline="0"/>
                      <a:pPr/>
                      <a:t>[值]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87A-4EB2-A720-B3672E1DEC5C}"/>
                </c:ext>
              </c:extLst>
            </c:dLbl>
            <c:dLbl>
              <c:idx val="9"/>
              <c:layout>
                <c:manualLayout>
                  <c:x val="-1.0022048506714773E-3"/>
                  <c:y val="-0.13978994496337765"/>
                </c:manualLayout>
              </c:layout>
              <c:tx>
                <c:rich>
                  <a:bodyPr/>
                  <a:lstStyle/>
                  <a:p>
                    <a:fld id="{C56567DA-D29C-4840-9E56-163B54AD5440}" type="CELLRANGE">
                      <a:rPr lang="en-US" altLang="zh-TW" baseline="0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C70F6DD8-3A9C-42D0-9812-8001E6AD4842}" type="VALUE">
                      <a:rPr lang="en-US" altLang="zh-TW" baseline="0"/>
                      <a:pPr/>
                      <a:t>[值]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EA8-4F08-829D-184A7534551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4AC2EF8-4B43-4F16-AC35-1492A5409FC9}" type="CELLRANGE">
                      <a:rPr lang="zh-TW" altLang="en-US"/>
                      <a:pPr/>
                      <a:t>[CELLRANGE]</a:t>
                    </a:fld>
                    <a:r>
                      <a:rPr lang="zh-TW" altLang="en-US" baseline="0"/>
                      <a:t>
</a:t>
                    </a:r>
                    <a:fld id="{4F10CA4C-EDB0-41B4-B548-C7272FA69BBB}" type="VALUE">
                      <a:rPr lang="zh-TW" altLang="en-US" baseline="0"/>
                      <a:pPr/>
                      <a:t>[值]</a:t>
                    </a:fld>
                    <a:endParaRPr lang="zh-TW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B57-4E69-9520-19093C20693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3EF7369-DF47-441B-A4B2-435F20E43E59}" type="CELLRANGE">
                      <a:rPr lang="zh-TW" altLang="en-US"/>
                      <a:pPr/>
                      <a:t>[CELLRANGE]</a:t>
                    </a:fld>
                    <a:r>
                      <a:rPr lang="zh-TW" altLang="en-US" baseline="0"/>
                      <a:t>
</a:t>
                    </a:r>
                    <a:fld id="{E062DEFC-3432-48E4-B651-976C412D5B64}" type="VALUE">
                      <a:rPr lang="zh-TW" altLang="en-US" baseline="0"/>
                      <a:pPr/>
                      <a:t>[值]</a:t>
                    </a:fld>
                    <a:endParaRPr lang="zh-TW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B57-4E69-9520-19093C20693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040F216-73B4-4EC5-AF7E-AD3A10F0BBE6}" type="CELLRANGE">
                      <a:rPr lang="zh-TW" altLang="en-US"/>
                      <a:pPr/>
                      <a:t>[CELLRANGE]</a:t>
                    </a:fld>
                    <a:r>
                      <a:rPr lang="zh-TW" altLang="en-US" baseline="0"/>
                      <a:t>
</a:t>
                    </a:r>
                    <a:fld id="{709E6187-B024-4FFB-8E03-8CD19A6B3592}" type="VALUE">
                      <a:rPr lang="zh-TW" altLang="en-US" baseline="0"/>
                      <a:pPr/>
                      <a:t>[值]</a:t>
                    </a:fld>
                    <a:endParaRPr lang="zh-TW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B57-4E69-9520-19093C20693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2F4FC3B-294B-4709-A6AF-BF3AF8A34B75}" type="CELLRANGE">
                      <a:rPr lang="zh-TW" altLang="en-US"/>
                      <a:pPr/>
                      <a:t>[CELLRANGE]</a:t>
                    </a:fld>
                    <a:r>
                      <a:rPr lang="zh-TW" altLang="en-US" baseline="0"/>
                      <a:t>
</a:t>
                    </a:r>
                    <a:fld id="{09CB2EAE-BC25-430C-A35D-9D2FC2298E97}" type="VALUE">
                      <a:rPr lang="zh-TW" altLang="en-US" baseline="0"/>
                      <a:pPr/>
                      <a:t>[值]</a:t>
                    </a:fld>
                    <a:endParaRPr lang="zh-TW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B57-4E69-9520-19093C20693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B8511BB-296C-4025-B429-CAF98BE5E812}" type="CELLRANGE">
                      <a:rPr lang="zh-TW" altLang="en-US"/>
                      <a:pPr/>
                      <a:t>[CELLRANGE]</a:t>
                    </a:fld>
                    <a:r>
                      <a:rPr lang="zh-TW" altLang="en-US" baseline="0"/>
                      <a:t>
</a:t>
                    </a:r>
                    <a:fld id="{EFFFF392-02A1-480B-A173-47EF940E9831}" type="VALUE">
                      <a:rPr lang="zh-TW" altLang="en-US" baseline="0"/>
                      <a:pPr/>
                      <a:t>[值]</a:t>
                    </a:fld>
                    <a:endParaRPr lang="zh-TW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B57-4E69-9520-19093C20693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00AFCA8-E34D-44C8-B932-49C8F8D7F347}" type="CELLRANGE">
                      <a:rPr lang="zh-TW" altLang="en-US"/>
                      <a:pPr/>
                      <a:t>[CELLRANGE]</a:t>
                    </a:fld>
                    <a:r>
                      <a:rPr lang="zh-TW" altLang="en-US" baseline="0"/>
                      <a:t>
</a:t>
                    </a:r>
                    <a:fld id="{B4C714A9-9B72-457F-B570-A9FE34B8ECCC}" type="VALUE">
                      <a:rPr lang="zh-TW" altLang="en-US" baseline="0"/>
                      <a:pPr/>
                      <a:t>[值]</a:t>
                    </a:fld>
                    <a:endParaRPr lang="zh-TW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B57-4E69-9520-19093C20693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970C85B-6F9D-4E92-83F9-FA412875F0CA}" type="CELLRANGE">
                      <a:rPr lang="zh-TW" altLang="en-US"/>
                      <a:pPr/>
                      <a:t>[CELLRANGE]</a:t>
                    </a:fld>
                    <a:r>
                      <a:rPr lang="zh-TW" altLang="en-US" baseline="0"/>
                      <a:t>
</a:t>
                    </a:r>
                    <a:fld id="{A5708A46-6E50-46DD-84BD-386C701768BF}" type="VALUE">
                      <a:rPr lang="zh-TW" altLang="en-US" baseline="0"/>
                      <a:pPr/>
                      <a:t>[值]</a:t>
                    </a:fld>
                    <a:endParaRPr lang="zh-TW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57-4E69-9520-19093C206930}"/>
                </c:ext>
              </c:extLst>
            </c:dLbl>
            <c:dLbl>
              <c:idx val="21"/>
              <c:layout>
                <c:manualLayout>
                  <c:x val="-7.3164208510620734E-17"/>
                  <c:y val="-6.9934226078371595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05-4E83-B4F4-4CB168CC8FA8}"/>
                </c:ext>
              </c:extLst>
            </c:dLbl>
            <c:dLbl>
              <c:idx val="22"/>
              <c:layout>
                <c:manualLayout>
                  <c:x val="0"/>
                  <c:y val="3.250042340369997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05-4E83-B4F4-4CB168CC8FA8}"/>
                </c:ext>
              </c:extLst>
            </c:dLbl>
            <c:dLbl>
              <c:idx val="29"/>
              <c:layout>
                <c:manualLayout>
                  <c:x val="-1.4632841702124147E-16"/>
                  <c:y val="1.831248935904946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604-49E4-8B01-791FEF6A435E}"/>
                </c:ext>
              </c:extLst>
            </c:dLbl>
            <c:dLbl>
              <c:idx val="31"/>
              <c:layout>
                <c:manualLayout>
                  <c:x val="-9.9770527786091981E-4"/>
                  <c:y val="3.250042340369997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7B-444B-A5D5-F49B94D930F2}"/>
                </c:ext>
              </c:extLst>
            </c:dLbl>
            <c:dLbl>
              <c:idx val="33"/>
              <c:layout>
                <c:manualLayout>
                  <c:x val="-1.4632841702124147E-16"/>
                  <c:y val="5.967869580041517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BC-431A-BF82-199E5EC40DA6}"/>
                </c:ext>
              </c:extLst>
            </c:dLbl>
            <c:dLbl>
              <c:idx val="36"/>
              <c:layout>
                <c:manualLayout>
                  <c:x val="-1.0576461540032728E-3"/>
                  <c:y val="6.733124290324007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2.6058260616803355E-2"/>
                      <c:h val="8.630319969562340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1A4-4FFC-9C2D-A21A9201BFF2}"/>
                </c:ext>
              </c:extLst>
            </c:dLbl>
            <c:dLbl>
              <c:idx val="4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3F7-4D4D-8663-7638F7C263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multiLvlStrRef>
              <c:f>'LCS Quality Status Table'!#REF!</c:f>
            </c:multiLvlStrRef>
          </c:cat>
          <c:val>
            <c:numRef>
              <c:f>'LCS Quality Status Table'!$C$11:$BC$11</c:f>
              <c:numCache>
                <c:formatCode>0_);[Red]\(0\)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'LCS Quality Status Table'!$C$13:$BC$13</c15:f>
                <c15:dlblRangeCache>
                  <c:ptCount val="17"/>
                  <c:pt idx="0">
                    <c:v>0.00%</c:v>
                  </c:pt>
                  <c:pt idx="1">
                    <c:v>0.00%</c:v>
                  </c:pt>
                  <c:pt idx="2">
                    <c:v>0.00%</c:v>
                  </c:pt>
                  <c:pt idx="3">
                    <c:v>0.00%</c:v>
                  </c:pt>
                  <c:pt idx="4">
                    <c:v>0.00%</c:v>
                  </c:pt>
                  <c:pt idx="5">
                    <c:v>0.00%</c:v>
                  </c:pt>
                  <c:pt idx="6">
                    <c:v>0.00%</c:v>
                  </c:pt>
                  <c:pt idx="7">
                    <c:v>0.00%</c:v>
                  </c:pt>
                  <c:pt idx="8">
                    <c:v>0.00%</c:v>
                  </c:pt>
                  <c:pt idx="9">
                    <c:v>0.00%</c:v>
                  </c:pt>
                  <c:pt idx="10">
                    <c:v>0.00%</c:v>
                  </c:pt>
                  <c:pt idx="11">
                    <c:v>0.00%</c:v>
                  </c:pt>
                  <c:pt idx="12">
                    <c:v>1.69%</c:v>
                  </c:pt>
                  <c:pt idx="13">
                    <c:v>0.00%</c:v>
                  </c:pt>
                  <c:pt idx="14">
                    <c:v>0.00%</c:v>
                  </c:pt>
                  <c:pt idx="15">
                    <c:v>0.00%</c:v>
                  </c:pt>
                  <c:pt idx="16">
                    <c:v>0.00%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64E-4807-AB01-E5B0C39537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27670719"/>
        <c:axId val="1917282895"/>
      </c:barChart>
      <c:lineChart>
        <c:grouping val="standard"/>
        <c:varyColors val="0"/>
        <c:ser>
          <c:idx val="0"/>
          <c:order val="0"/>
          <c:tx>
            <c:strRef>
              <c:f>'LCS Quality Status Table'!$B$13</c:f>
              <c:strCache>
                <c:ptCount val="1"/>
                <c:pt idx="0">
                  <c:v>Failure Rate</c:v>
                </c:pt>
              </c:strCache>
            </c:strRef>
          </c:tx>
          <c:spPr>
            <a:ln w="12700">
              <a:solidFill>
                <a:srgbClr val="FF0000"/>
              </a:solidFill>
            </a:ln>
            <a:effectLst>
              <a:outerShdw blurRad="88900" dist="76200" algn="l" rotWithShape="0">
                <a:schemeClr val="bg1">
                  <a:lumMod val="85000"/>
                  <a:alpha val="40000"/>
                </a:schemeClr>
              </a:outerShdw>
            </a:effectLst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elete val="1"/>
          </c:dLbls>
          <c:cat>
            <c:strRef>
              <c:f>'LCS Quality Status Table'!$C$10:$BC$10</c:f>
              <c:strCache>
                <c:ptCount val="17"/>
                <c:pt idx="0">
                  <c:v>WK01</c:v>
                </c:pt>
                <c:pt idx="1">
                  <c:v>WK02</c:v>
                </c:pt>
                <c:pt idx="2">
                  <c:v>WK03</c:v>
                </c:pt>
                <c:pt idx="3">
                  <c:v>WK04</c:v>
                </c:pt>
                <c:pt idx="4">
                  <c:v>WK05</c:v>
                </c:pt>
                <c:pt idx="5">
                  <c:v>WK06</c:v>
                </c:pt>
                <c:pt idx="6">
                  <c:v>WK07</c:v>
                </c:pt>
                <c:pt idx="7">
                  <c:v>WK08</c:v>
                </c:pt>
                <c:pt idx="8">
                  <c:v>WK09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  <c:pt idx="12">
                  <c:v>WK13</c:v>
                </c:pt>
                <c:pt idx="13">
                  <c:v>WK14</c:v>
                </c:pt>
                <c:pt idx="14">
                  <c:v>WK15</c:v>
                </c:pt>
                <c:pt idx="15">
                  <c:v>WK16</c:v>
                </c:pt>
                <c:pt idx="16">
                  <c:v>WK17</c:v>
                </c:pt>
              </c:strCache>
            </c:strRef>
          </c:cat>
          <c:val>
            <c:numRef>
              <c:f>'LCS Quality Status Table'!$C$13:$BC$13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1.6949152542372881E-2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0-43A7-AC0C-B763FCE36B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6584320"/>
        <c:axId val="166586240"/>
      </c:lineChart>
      <c:catAx>
        <c:axId val="16658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66586240"/>
        <c:crosses val="autoZero"/>
        <c:auto val="1"/>
        <c:lblAlgn val="ctr"/>
        <c:lblOffset val="100"/>
        <c:noMultiLvlLbl val="0"/>
      </c:catAx>
      <c:valAx>
        <c:axId val="166586240"/>
        <c:scaling>
          <c:orientation val="minMax"/>
          <c:max val="0.1"/>
          <c:min val="0"/>
        </c:scaling>
        <c:delete val="0"/>
        <c:axPos val="l"/>
        <c:numFmt formatCode="0.00%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66584320"/>
        <c:crosses val="autoZero"/>
        <c:crossBetween val="between"/>
        <c:majorUnit val="2.0000000000000004E-2"/>
      </c:valAx>
      <c:valAx>
        <c:axId val="1917282895"/>
        <c:scaling>
          <c:orientation val="minMax"/>
          <c:max val="70"/>
        </c:scaling>
        <c:delete val="0"/>
        <c:axPos val="r"/>
        <c:numFmt formatCode="0_);[Red]\(0\)" sourceLinked="1"/>
        <c:majorTickMark val="out"/>
        <c:minorTickMark val="none"/>
        <c:tickLblPos val="nextTo"/>
        <c:spPr>
          <a:pattFill prst="pct10">
            <a:fgClr>
              <a:schemeClr val="bg1">
                <a:lumMod val="85000"/>
              </a:schemeClr>
            </a:fgClr>
            <a:bgClr>
              <a:schemeClr val="bg1"/>
            </a:bgClr>
          </a:pattFill>
        </c:spPr>
        <c:txPr>
          <a:bodyPr/>
          <a:lstStyle/>
          <a:p>
            <a:pPr>
              <a:defRPr sz="900"/>
            </a:pPr>
            <a:endParaRPr lang="en-US"/>
          </a:p>
        </c:txPr>
        <c:crossAx val="327670719"/>
        <c:crosses val="max"/>
        <c:crossBetween val="between"/>
        <c:majorUnit val="5"/>
      </c:valAx>
      <c:catAx>
        <c:axId val="327670719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917282895"/>
        <c:crosses val="autoZero"/>
        <c:auto val="1"/>
        <c:lblAlgn val="ctr"/>
        <c:lblOffset val="100"/>
        <c:noMultiLvlLbl val="0"/>
      </c:catAx>
      <c:spPr>
        <a:pattFill prst="pct10">
          <a:fgClr>
            <a:schemeClr val="bg1">
              <a:lumMod val="85000"/>
            </a:schemeClr>
          </a:fgClr>
          <a:bgClr>
            <a:schemeClr val="bg1"/>
          </a:bgClr>
        </a:pattFill>
        <a:ln w="25400">
          <a:noFill/>
        </a:ln>
      </c:spPr>
    </c:plotArea>
    <c:legend>
      <c:legendPos val="t"/>
      <c:layout>
        <c:manualLayout>
          <c:xMode val="edge"/>
          <c:yMode val="edge"/>
          <c:x val="0.38653550246073842"/>
          <c:y val="0"/>
          <c:w val="0.24834600565874407"/>
          <c:h val="0.11795768679599981"/>
        </c:manualLayout>
      </c:layout>
      <c:overlay val="0"/>
      <c:spPr>
        <a:noFill/>
        <a:ln>
          <a:noFill/>
        </a:ln>
      </c:spPr>
    </c:legend>
    <c:plotVisOnly val="1"/>
    <c:dispBlanksAs val="gap"/>
    <c:showDLblsOverMax val="0"/>
  </c:chart>
  <c:spPr>
    <a:pattFill prst="pct5">
      <a:fgClr>
        <a:schemeClr val="bg1">
          <a:lumMod val="85000"/>
        </a:schemeClr>
      </a:fgClr>
      <a:bgClr>
        <a:schemeClr val="bg1"/>
      </a:bgClr>
    </a:pattFill>
    <a:ln w="12700">
      <a:solidFill>
        <a:schemeClr val="tx1">
          <a:lumMod val="75000"/>
          <a:lumOff val="25000"/>
        </a:schemeClr>
      </a:solidFill>
    </a:ln>
  </c:spPr>
  <c:printSettings>
    <c:headerFooter/>
    <c:pageMargins b="0.75000000000000699" l="0.70000000000000062" r="0.70000000000000062" t="0.7500000000000069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332361892145197E-2"/>
          <c:y val="0.12854561521518337"/>
          <c:w val="0.95505640240830103"/>
          <c:h val="0.7524303819241486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'LCS Quality Status Table'!$A$41:$B$41</c:f>
              <c:strCache>
                <c:ptCount val="2"/>
                <c:pt idx="0">
                  <c:v>Cust. Complaint Q'ty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noFill/>
            </a:ln>
            <a:effectLst>
              <a:outerShdw blurRad="88900" dist="76200" algn="ctr" rotWithShape="0">
                <a:schemeClr val="bg1">
                  <a:lumMod val="85000"/>
                  <a:alpha val="4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3.22230995475573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80-45E4-9DFE-DBFE98029142}"/>
                </c:ext>
              </c:extLst>
            </c:dLbl>
            <c:dLbl>
              <c:idx val="1"/>
              <c:layout>
                <c:manualLayout>
                  <c:x val="2.0027128085389812E-3"/>
                  <c:y val="-3.59043079515320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9E-42B9-8427-B6695C10017B}"/>
                </c:ext>
              </c:extLst>
            </c:dLbl>
            <c:dLbl>
              <c:idx val="2"/>
              <c:layout>
                <c:manualLayout>
                  <c:x val="-1.0013564042695366E-3"/>
                  <c:y val="-3.86677194570686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10-446A-91B3-27E2635B957B}"/>
                </c:ext>
              </c:extLst>
            </c:dLbl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'LCS Quality Status Table'!#REF!</c:f>
            </c:multiLvlStrRef>
          </c:cat>
          <c:val>
            <c:numRef>
              <c:f>'LCS Quality Status Table'!$C$41:$BC$41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3-4832-96B8-609BF661D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9275295"/>
        <c:axId val="127974399"/>
      </c:barChart>
      <c:lineChart>
        <c:grouping val="standard"/>
        <c:varyColors val="0"/>
        <c:ser>
          <c:idx val="0"/>
          <c:order val="0"/>
          <c:tx>
            <c:strRef>
              <c:f>'LCS Quality Status Table'!$A$42:$B$42</c:f>
              <c:strCache>
                <c:ptCount val="2"/>
                <c:pt idx="0">
                  <c:v>Acc. Cust. Complaint Q'ty</c:v>
                </c:pt>
              </c:strCache>
            </c:strRef>
          </c:tx>
          <c:spPr>
            <a:ln w="12700">
              <a:solidFill>
                <a:srgbClr val="FF0000"/>
              </a:solidFill>
            </a:ln>
            <a:effectLst>
              <a:outerShdw blurRad="88900" dist="76200" algn="ctr" rotWithShape="0">
                <a:schemeClr val="bg1">
                  <a:lumMod val="85000"/>
                  <a:alpha val="40000"/>
                </a:schemeClr>
              </a:outerShdw>
            </a:effectLst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1.0149101968595729E-2"/>
                  <c:y val="-0.2244026801499617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BE-4820-8584-4C24C915BD62}"/>
                </c:ext>
              </c:extLst>
            </c:dLbl>
            <c:dLbl>
              <c:idx val="1"/>
              <c:layout>
                <c:manualLayout>
                  <c:x val="-1.1150458372865248E-2"/>
                  <c:y val="-0.206722869630609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BE-4820-8584-4C24C915BD62}"/>
                </c:ext>
              </c:extLst>
            </c:dLbl>
            <c:dLbl>
              <c:idx val="2"/>
              <c:layout>
                <c:manualLayout>
                  <c:x val="-1.2151814777134728E-2"/>
                  <c:y val="-0.19193752676800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B1-4CC3-910A-45457A9B2871}"/>
                </c:ext>
              </c:extLst>
            </c:dLbl>
            <c:dLbl>
              <c:idx val="3"/>
              <c:layout>
                <c:manualLayout>
                  <c:x val="-1.1154384427260775E-2"/>
                  <c:y val="-0.192661171259842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B1-4CC3-910A-45457A9B2871}"/>
                </c:ext>
              </c:extLst>
            </c:dLbl>
            <c:dLbl>
              <c:idx val="4"/>
              <c:layout>
                <c:manualLayout>
                  <c:x val="-1.2151752617418191E-2"/>
                  <c:y val="-0.165961617646687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B1-4CC3-910A-45457A9B2871}"/>
                </c:ext>
              </c:extLst>
            </c:dLbl>
            <c:dLbl>
              <c:idx val="5"/>
              <c:layout>
                <c:manualLayout>
                  <c:x val="-1.2151788756831641E-2"/>
                  <c:y val="-0.121046604380069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B1-4CC3-910A-45457A9B2871}"/>
                </c:ext>
              </c:extLst>
            </c:dLbl>
            <c:dLbl>
              <c:idx val="6"/>
              <c:layout>
                <c:manualLayout>
                  <c:x val="-1.2151788756831641E-2"/>
                  <c:y val="-0.121046604380069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B1-4CC3-910A-45457A9B2871}"/>
                </c:ext>
              </c:extLst>
            </c:dLbl>
            <c:dLbl>
              <c:idx val="7"/>
              <c:layout>
                <c:manualLayout>
                  <c:x val="-1.2151788756831561E-2"/>
                  <c:y val="-0.121046604380069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B1-4CC3-910A-45457A9B2871}"/>
                </c:ext>
              </c:extLst>
            </c:dLbl>
            <c:dLbl>
              <c:idx val="8"/>
              <c:layout>
                <c:manualLayout>
                  <c:x val="-1.2151788756831561E-2"/>
                  <c:y val="-0.121046604380069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72-4129-B8F7-B35AF2628FF7}"/>
                </c:ext>
              </c:extLst>
            </c:dLbl>
            <c:dLbl>
              <c:idx val="9"/>
              <c:layout>
                <c:manualLayout>
                  <c:x val="-1.2151788756831722E-2"/>
                  <c:y val="-0.121046604380069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72-4129-B8F7-B35AF2628FF7}"/>
                </c:ext>
              </c:extLst>
            </c:dLbl>
            <c:dLbl>
              <c:idx val="10"/>
              <c:layout>
                <c:manualLayout>
                  <c:x val="-1.2151788756831561E-2"/>
                  <c:y val="-0.121046604380069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D4-4113-8769-9A37DCF00F9E}"/>
                </c:ext>
              </c:extLst>
            </c:dLbl>
            <c:dLbl>
              <c:idx val="11"/>
              <c:layout>
                <c:manualLayout>
                  <c:x val="-1.2151788756831561E-2"/>
                  <c:y val="-0.121046604380069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5C-4C71-88CA-900D541CF518}"/>
                </c:ext>
              </c:extLst>
            </c:dLbl>
            <c:dLbl>
              <c:idx val="12"/>
              <c:layout>
                <c:manualLayout>
                  <c:x val="-1.2151788756831722E-2"/>
                  <c:y val="-0.121046604380069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92-4845-890E-F6679AAA56E9}"/>
                </c:ext>
              </c:extLst>
            </c:dLbl>
            <c:dLbl>
              <c:idx val="13"/>
              <c:layout>
                <c:manualLayout>
                  <c:x val="-1.1006422671133938E-2"/>
                  <c:y val="-0.1308757791994750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74-4F0A-B5CD-D3C0DB8FDB7E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'LCS Quality Status Table'!$C$40:$BC$40</c:f>
              <c:strCache>
                <c:ptCount val="17"/>
                <c:pt idx="0">
                  <c:v>WK01</c:v>
                </c:pt>
                <c:pt idx="1">
                  <c:v>WK02</c:v>
                </c:pt>
                <c:pt idx="2">
                  <c:v>WK03</c:v>
                </c:pt>
                <c:pt idx="3">
                  <c:v>WK04</c:v>
                </c:pt>
                <c:pt idx="4">
                  <c:v>WK05</c:v>
                </c:pt>
                <c:pt idx="5">
                  <c:v>WK06</c:v>
                </c:pt>
                <c:pt idx="6">
                  <c:v>WK07</c:v>
                </c:pt>
                <c:pt idx="7">
                  <c:v>WK08</c:v>
                </c:pt>
                <c:pt idx="8">
                  <c:v>WK09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  <c:pt idx="12">
                  <c:v>WK13</c:v>
                </c:pt>
                <c:pt idx="13">
                  <c:v>WK14</c:v>
                </c:pt>
                <c:pt idx="14">
                  <c:v>WK15</c:v>
                </c:pt>
                <c:pt idx="15">
                  <c:v>WK16</c:v>
                </c:pt>
                <c:pt idx="16">
                  <c:v>WK17</c:v>
                </c:pt>
              </c:strCache>
            </c:strRef>
          </c:cat>
          <c:val>
            <c:numRef>
              <c:f>'LCS Quality Status Table'!$C$42:$BC$42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BC-42DB-9C41-D9327001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144128"/>
        <c:axId val="195289472"/>
      </c:lineChart>
      <c:catAx>
        <c:axId val="196144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95289472"/>
        <c:crosses val="autoZero"/>
        <c:auto val="1"/>
        <c:lblAlgn val="ctr"/>
        <c:lblOffset val="100"/>
        <c:noMultiLvlLbl val="0"/>
      </c:catAx>
      <c:valAx>
        <c:axId val="195289472"/>
        <c:scaling>
          <c:orientation val="minMax"/>
          <c:max val="10"/>
          <c:min val="0"/>
        </c:scaling>
        <c:delete val="0"/>
        <c:axPos val="l"/>
        <c:majorGridlines>
          <c:spPr>
            <a:ln w="0">
              <a:solidFill>
                <a:sysClr val="windowText" lastClr="000000">
                  <a:tint val="75000"/>
                  <a:shade val="95000"/>
                  <a:satMod val="105000"/>
                  <a:alpha val="0"/>
                </a:sysClr>
              </a:solidFill>
            </a:ln>
          </c:spPr>
        </c:majorGridlines>
        <c:numFmt formatCode="#,##0_);\(#,##0\)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96144128"/>
        <c:crosses val="autoZero"/>
        <c:crossBetween val="between"/>
        <c:majorUnit val="1"/>
      </c:valAx>
      <c:valAx>
        <c:axId val="127974399"/>
        <c:scaling>
          <c:orientation val="minMax"/>
          <c:max val="1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259275295"/>
        <c:crosses val="max"/>
        <c:crossBetween val="between"/>
        <c:majorUnit val="1"/>
      </c:valAx>
      <c:catAx>
        <c:axId val="259275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7974399"/>
        <c:crosses val="autoZero"/>
        <c:auto val="1"/>
        <c:lblAlgn val="ctr"/>
        <c:lblOffset val="100"/>
        <c:noMultiLvlLbl val="0"/>
      </c:catAx>
      <c:spPr>
        <a:pattFill prst="pct10">
          <a:fgClr>
            <a:schemeClr val="bg1">
              <a:lumMod val="85000"/>
            </a:schemeClr>
          </a:fgClr>
          <a:bgClr>
            <a:schemeClr val="bg1"/>
          </a:bgClr>
        </a:pattFill>
        <a:ln>
          <a:noFill/>
        </a:ln>
      </c:spPr>
    </c:plotArea>
    <c:legend>
      <c:legendPos val="t"/>
      <c:overlay val="0"/>
    </c:legend>
    <c:plotVisOnly val="1"/>
    <c:dispBlanksAs val="gap"/>
    <c:showDLblsOverMax val="0"/>
  </c:chart>
  <c:spPr>
    <a:pattFill prst="pct5">
      <a:fgClr>
        <a:schemeClr val="bg1">
          <a:lumMod val="85000"/>
        </a:schemeClr>
      </a:fgClr>
      <a:bgClr>
        <a:schemeClr val="bg1"/>
      </a:bgClr>
    </a:pattFill>
    <a:ln w="12700">
      <a:solidFill>
        <a:schemeClr val="tx1">
          <a:lumMod val="75000"/>
          <a:lumOff val="25000"/>
        </a:schemeClr>
      </a:solidFill>
    </a:ln>
  </c:sp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6825708625745246E-2"/>
          <c:y val="8.5020731360326368E-2"/>
          <c:w val="0.93901168922986644"/>
          <c:h val="0.8023641663633752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'LCS Quality Status Table'!$B$35</c:f>
              <c:strCache>
                <c:ptCount val="1"/>
                <c:pt idx="0">
                  <c:v>Fail Q'ty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noFill/>
            </a:ln>
            <a:effectLst>
              <a:outerShdw blurRad="88900" dist="76200" algn="ctr" rotWithShape="0">
                <a:schemeClr val="bg1">
                  <a:lumMod val="85000"/>
                  <a:alpha val="4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9.1863533869813212E-18"/>
                  <c:y val="-4.8686051637883115E-2"/>
                </c:manualLayout>
              </c:layout>
              <c:tx>
                <c:rich>
                  <a:bodyPr/>
                  <a:lstStyle/>
                  <a:p>
                    <a:fld id="{2E7A1EEE-85AE-4C18-9414-42A850CDDA97}" type="CELLRANGE">
                      <a:rPr lang="en-US" altLang="zh-TW" baseline="0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9131544D-AC81-4B97-B1F5-AE9DF0B2E782}" type="VALUE">
                      <a:rPr lang="en-US" altLang="zh-TW" baseline="0"/>
                      <a:pPr/>
                      <a:t>[值]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BD4-4E2E-B427-332B7CDBB55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DDE33C2-B4E9-4F8F-BFB4-6664C6F83044}" type="CELLRANGE">
                      <a:rPr lang="en-US" altLang="zh-TW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FCE2638F-E979-464E-95D9-5609BF5BBB78}" type="VALUE">
                      <a:rPr lang="en-US" altLang="zh-TW" baseline="0"/>
                      <a:pPr/>
                      <a:t>[值]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6DA-4CD9-8833-64898E5984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B090556-FDCA-47B5-914A-EDFC68634B37}" type="CELLRANGE">
                      <a:rPr lang="en-US" altLang="zh-TW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CC904D7C-6272-4BBB-A4AC-8D2A443FA1C3}" type="VALUE">
                      <a:rPr lang="en-US" altLang="zh-TW" baseline="0"/>
                      <a:pPr/>
                      <a:t>[值]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6DA-4CD9-8833-64898E598489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900"/>
                    </a:pPr>
                    <a:fld id="{C6259791-E58B-45DF-8738-0584FD1AEAEE}" type="CELLRANGE">
                      <a:rPr lang="en-US" altLang="zh-TW"/>
                      <a:pPr>
                        <a:defRPr sz="900"/>
                      </a:pPr>
                      <a:t>[CELLRANGE]</a:t>
                    </a:fld>
                    <a:r>
                      <a:rPr lang="en-US" baseline="0"/>
                      <a:t>
</a:t>
                    </a:r>
                    <a:fld id="{6B72930D-0612-4E06-B469-AF5E67A33AD1}" type="VALUE">
                      <a:rPr lang="en-US" altLang="zh-TW" baseline="0"/>
                      <a:pPr>
                        <a:defRPr sz="900"/>
                      </a:pPr>
                      <a:t>[值]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6DA-4CD9-8833-64898E5984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AEDD687-88D1-48CB-9789-AD88DFBBD072}" type="CELLRANGE">
                      <a:rPr lang="en-US" altLang="zh-TW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60D03AD7-8BF8-4241-9FD4-6AD873CF4FE8}" type="VALUE">
                      <a:rPr lang="en-US" altLang="zh-TW" baseline="0"/>
                      <a:pPr/>
                      <a:t>[值]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6DA-4CD9-8833-64898E598489}"/>
                </c:ext>
              </c:extLst>
            </c:dLbl>
            <c:dLbl>
              <c:idx val="5"/>
              <c:layout>
                <c:manualLayout>
                  <c:x val="0"/>
                  <c:y val="3.7916452032281014E-2"/>
                </c:manualLayout>
              </c:layout>
              <c:tx>
                <c:rich>
                  <a:bodyPr/>
                  <a:lstStyle/>
                  <a:p>
                    <a:fld id="{70879461-4FE0-40CF-B46B-9BED108FD741}" type="CELLRANGE">
                      <a:rPr lang="en-US" altLang="zh-TW" baseline="0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51AD2340-A4A8-40AA-A1D4-F43981D79DC1}" type="VALUE">
                      <a:rPr lang="en-US" altLang="zh-TW" baseline="0"/>
                      <a:pPr/>
                      <a:t>[值]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A19-45A0-B99D-2581F46A2B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1BDA7B5-CB70-4210-B5A9-BAE29DF8D9BD}" type="CELLRANGE">
                      <a:rPr lang="en-US" altLang="zh-TW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73093A49-F87E-4DE9-9774-AFA9184323A3}" type="VALUE">
                      <a:rPr lang="en-US" altLang="zh-TW" baseline="0"/>
                      <a:pPr/>
                      <a:t>[值]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6DA-4CD9-8833-64898E5984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75B5026-C392-454F-B3F7-C4292862FED7}" type="CELLRANGE">
                      <a:rPr lang="en-US" altLang="zh-TW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7377C825-852D-4912-AABA-9363572DFC43}" type="VALUE">
                      <a:rPr lang="en-US" altLang="zh-TW" baseline="0"/>
                      <a:pPr/>
                      <a:t>[值]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6DA-4CD9-8833-64898E598489}"/>
                </c:ext>
              </c:extLst>
            </c:dLbl>
            <c:dLbl>
              <c:idx val="8"/>
              <c:layout>
                <c:manualLayout>
                  <c:x val="-1.0027073097363616E-3"/>
                  <c:y val="1.2564150497696982E-2"/>
                </c:manualLayout>
              </c:layout>
              <c:tx>
                <c:rich>
                  <a:bodyPr/>
                  <a:lstStyle/>
                  <a:p>
                    <a:fld id="{4D1E1636-B565-4CBC-8721-69E9AD0733E9}" type="CELLRANGE">
                      <a:rPr lang="en-US" altLang="zh-TW" baseline="0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6770979C-6A9C-47D7-9BA4-406611CDBB34}" type="VALUE">
                      <a:rPr lang="en-US" altLang="zh-TW" baseline="0"/>
                      <a:pPr/>
                      <a:t>[值]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A19-45A0-B99D-2581F46A2BD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D6D33CB-E515-4995-A63D-65033C42AF1E}" type="CELLRANGE">
                      <a:rPr lang="en-US" altLang="zh-TW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DAEC31B7-6669-4E71-9406-BD87B3BC0E2C}" type="VALUE">
                      <a:rPr lang="en-US" altLang="zh-TW" baseline="0"/>
                      <a:pPr/>
                      <a:t>[值]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409-4338-A9C0-65533AB9F98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F1EA2FF-6BB9-46C1-B2A1-EF265C8A3F55}" type="CELLRANGE">
                      <a:rPr lang="zh-TW" altLang="en-US"/>
                      <a:pPr/>
                      <a:t>[CELLRANGE]</a:t>
                    </a:fld>
                    <a:r>
                      <a:rPr lang="zh-TW" altLang="en-US" baseline="0"/>
                      <a:t>
</a:t>
                    </a:r>
                    <a:fld id="{DDDDC558-FC4E-4E32-B5C5-C0A41EC052D5}" type="VALUE">
                      <a:rPr lang="zh-TW" altLang="en-US" baseline="0"/>
                      <a:pPr/>
                      <a:t>[值]</a:t>
                    </a:fld>
                    <a:endParaRPr lang="zh-TW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F36-4BE4-A29C-A83F43AF957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63710EA-288E-4BC3-93E1-6E01FD0E7C70}" type="CELLRANGE">
                      <a:rPr lang="zh-TW" altLang="en-US"/>
                      <a:pPr/>
                      <a:t>[CELLRANGE]</a:t>
                    </a:fld>
                    <a:r>
                      <a:rPr lang="zh-TW" altLang="en-US" baseline="0"/>
                      <a:t>
</a:t>
                    </a:r>
                    <a:fld id="{A2613195-D0E3-46F5-8BBF-EDAD943EBD29}" type="VALUE">
                      <a:rPr lang="zh-TW" altLang="en-US" baseline="0"/>
                      <a:pPr/>
                      <a:t>[值]</a:t>
                    </a:fld>
                    <a:endParaRPr lang="zh-TW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F36-4BE4-A29C-A83F43AF957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FC5CD3F-41F9-465B-AAAA-E35201404BF3}" type="CELLRANGE">
                      <a:rPr lang="zh-TW" altLang="en-US"/>
                      <a:pPr/>
                      <a:t>[CELLRANGE]</a:t>
                    </a:fld>
                    <a:r>
                      <a:rPr lang="zh-TW" altLang="en-US" baseline="0"/>
                      <a:t>
</a:t>
                    </a:r>
                    <a:fld id="{C6BDB0EB-3497-44C7-B0C0-2B75D08D50F7}" type="VALUE">
                      <a:rPr lang="zh-TW" altLang="en-US" baseline="0"/>
                      <a:pPr/>
                      <a:t>[值]</a:t>
                    </a:fld>
                    <a:endParaRPr lang="zh-TW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F36-4BE4-A29C-A83F43AF957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BEAB126-4148-409F-86ED-04CD751602DE}" type="CELLRANGE">
                      <a:rPr lang="zh-TW" altLang="en-US"/>
                      <a:pPr/>
                      <a:t>[CELLRANGE]</a:t>
                    </a:fld>
                    <a:r>
                      <a:rPr lang="zh-TW" altLang="en-US" baseline="0"/>
                      <a:t>
</a:t>
                    </a:r>
                    <a:fld id="{36B99311-4803-44F8-8018-85286F341497}" type="VALUE">
                      <a:rPr lang="zh-TW" altLang="en-US" baseline="0"/>
                      <a:pPr/>
                      <a:t>[值]</a:t>
                    </a:fld>
                    <a:endParaRPr lang="zh-TW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F36-4BE4-A29C-A83F43AF957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2565497-5B09-4FB0-BE80-24BD88947F8A}" type="CELLRANGE">
                      <a:rPr lang="zh-TW" altLang="en-US"/>
                      <a:pPr/>
                      <a:t>[CELLRANGE]</a:t>
                    </a:fld>
                    <a:r>
                      <a:rPr lang="zh-TW" altLang="en-US" baseline="0"/>
                      <a:t>
</a:t>
                    </a:r>
                    <a:fld id="{237FAFA2-D60A-4BF8-8EC7-E74C5C289803}" type="VALUE">
                      <a:rPr lang="zh-TW" altLang="en-US" baseline="0"/>
                      <a:pPr/>
                      <a:t>[值]</a:t>
                    </a:fld>
                    <a:endParaRPr lang="zh-TW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F36-4BE4-A29C-A83F43AF957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D45B7AB-39B3-4D12-9123-94390EB47AF2}" type="CELLRANGE">
                      <a:rPr lang="zh-TW" altLang="en-US"/>
                      <a:pPr/>
                      <a:t>[CELLRANGE]</a:t>
                    </a:fld>
                    <a:r>
                      <a:rPr lang="zh-TW" altLang="en-US" baseline="0"/>
                      <a:t>
</a:t>
                    </a:r>
                    <a:fld id="{A6A832BD-EDDC-4200-A2AD-B0350DED9C6C}" type="VALUE">
                      <a:rPr lang="zh-TW" altLang="en-US" baseline="0"/>
                      <a:pPr/>
                      <a:t>[值]</a:t>
                    </a:fld>
                    <a:endParaRPr lang="zh-TW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F36-4BE4-A29C-A83F43AF957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49BBC4D-56B3-4049-9118-5D88A82418D8}" type="CELLRANGE">
                      <a:rPr lang="zh-TW" altLang="en-US"/>
                      <a:pPr/>
                      <a:t>[CELLRANGE]</a:t>
                    </a:fld>
                    <a:r>
                      <a:rPr lang="zh-TW" altLang="en-US" baseline="0"/>
                      <a:t>
</a:t>
                    </a:r>
                    <a:fld id="{B9CA3D00-3330-49FA-AA34-F170979BB431}" type="VALUE">
                      <a:rPr lang="zh-TW" altLang="en-US" baseline="0"/>
                      <a:pPr/>
                      <a:t>[值]</a:t>
                    </a:fld>
                    <a:endParaRPr lang="zh-TW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F36-4BE4-A29C-A83F43AF957E}"/>
                </c:ext>
              </c:extLst>
            </c:dLbl>
            <c:dLbl>
              <c:idx val="21"/>
              <c:layout>
                <c:manualLayout>
                  <c:x val="9.9820323417847872E-4"/>
                  <c:y val="-7.268288529234746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19-45A0-B99D-2581F46A2BD0}"/>
                </c:ext>
              </c:extLst>
            </c:dLbl>
            <c:dLbl>
              <c:idx val="22"/>
              <c:layout>
                <c:manualLayout>
                  <c:x val="-9.9820323417855201E-4"/>
                  <c:y val="8.500554447091314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19-45A0-B99D-2581F46A2BD0}"/>
                </c:ext>
              </c:extLst>
            </c:dLbl>
            <c:dLbl>
              <c:idx val="29"/>
              <c:layout>
                <c:manualLayout>
                  <c:x val="0"/>
                  <c:y val="8.02013039666673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19-45A0-B99D-2581F46A2BD0}"/>
                </c:ext>
              </c:extLst>
            </c:dLbl>
            <c:dLbl>
              <c:idx val="31"/>
              <c:layout>
                <c:manualLayout>
                  <c:x val="9.9820323417847872E-4"/>
                  <c:y val="8.500554447091314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19-45A0-B99D-2581F46A2BD0}"/>
                </c:ext>
              </c:extLst>
            </c:dLbl>
            <c:dLbl>
              <c:idx val="33"/>
              <c:layout>
                <c:manualLayout>
                  <c:x val="0"/>
                  <c:y val="5.07372307835217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A19-45A0-B99D-2581F46A2BD0}"/>
                </c:ext>
              </c:extLst>
            </c:dLbl>
            <c:dLbl>
              <c:idx val="36"/>
              <c:layout>
                <c:manualLayout>
                  <c:x val="-1.0576631354899764E-3"/>
                  <c:y val="-6.91897718542142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2.6058260616803355E-2"/>
                      <c:h val="8.630319969562340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AA19-45A0-B99D-2581F46A2B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multiLvlStrRef>
              <c:f>'LCS Quality Status Table'!#REF!</c:f>
            </c:multiLvlStrRef>
          </c:cat>
          <c:val>
            <c:numRef>
              <c:f>'LCS Quality Status Table'!$C$35:$BC$35</c:f>
              <c:numCache>
                <c:formatCode>0_);[Red]\(0\)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'LCS Quality Status Table'!$C$37:$BC$37</c15:f>
                <c15:dlblRangeCache>
                  <c:ptCount val="17"/>
                  <c:pt idx="0">
                    <c:v>0.00%</c:v>
                  </c:pt>
                  <c:pt idx="1">
                    <c:v>0.00%</c:v>
                  </c:pt>
                  <c:pt idx="2">
                    <c:v>0.00%</c:v>
                  </c:pt>
                  <c:pt idx="3">
                    <c:v>0.00%</c:v>
                  </c:pt>
                  <c:pt idx="4">
                    <c:v>0.00%</c:v>
                  </c:pt>
                  <c:pt idx="5">
                    <c:v>0.00%</c:v>
                  </c:pt>
                  <c:pt idx="6">
                    <c:v>0.00%</c:v>
                  </c:pt>
                  <c:pt idx="7">
                    <c:v>0.00%</c:v>
                  </c:pt>
                  <c:pt idx="8">
                    <c:v>0.00%</c:v>
                  </c:pt>
                  <c:pt idx="9">
                    <c:v>0.00%</c:v>
                  </c:pt>
                  <c:pt idx="10">
                    <c:v>0.00%</c:v>
                  </c:pt>
                  <c:pt idx="11">
                    <c:v>0.00%</c:v>
                  </c:pt>
                  <c:pt idx="12">
                    <c:v>1.15%</c:v>
                  </c:pt>
                  <c:pt idx="13">
                    <c:v>0.00%</c:v>
                  </c:pt>
                  <c:pt idx="14">
                    <c:v>0.00%</c:v>
                  </c:pt>
                  <c:pt idx="15">
                    <c:v>0.00%</c:v>
                  </c:pt>
                  <c:pt idx="16">
                    <c:v>0.00%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A19-45A0-B99D-2581F46A2B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27670719"/>
        <c:axId val="1917282895"/>
      </c:barChart>
      <c:lineChart>
        <c:grouping val="standard"/>
        <c:varyColors val="0"/>
        <c:ser>
          <c:idx val="0"/>
          <c:order val="0"/>
          <c:tx>
            <c:strRef>
              <c:f>'LCS Quality Status Table'!$B$37</c:f>
              <c:strCache>
                <c:ptCount val="1"/>
                <c:pt idx="0">
                  <c:v>Failure Rate</c:v>
                </c:pt>
              </c:strCache>
            </c:strRef>
          </c:tx>
          <c:spPr>
            <a:ln w="12700">
              <a:solidFill>
                <a:srgbClr val="FF0000"/>
              </a:solidFill>
            </a:ln>
            <a:effectLst>
              <a:outerShdw blurRad="88900" dist="76200" algn="l" rotWithShape="0">
                <a:schemeClr val="bg1">
                  <a:lumMod val="85000"/>
                  <a:alpha val="40000"/>
                </a:schemeClr>
              </a:outerShdw>
            </a:effectLst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elete val="1"/>
          </c:dLbls>
          <c:cat>
            <c:strRef>
              <c:f>'LCS Quality Status Table'!$C$34:$BC$34</c:f>
              <c:strCache>
                <c:ptCount val="17"/>
                <c:pt idx="0">
                  <c:v>WK01</c:v>
                </c:pt>
                <c:pt idx="1">
                  <c:v>WK02</c:v>
                </c:pt>
                <c:pt idx="2">
                  <c:v>WK03</c:v>
                </c:pt>
                <c:pt idx="3">
                  <c:v>WK04</c:v>
                </c:pt>
                <c:pt idx="4">
                  <c:v>WK05</c:v>
                </c:pt>
                <c:pt idx="5">
                  <c:v>WK06</c:v>
                </c:pt>
                <c:pt idx="6">
                  <c:v>WK07</c:v>
                </c:pt>
                <c:pt idx="7">
                  <c:v>WK08</c:v>
                </c:pt>
                <c:pt idx="8">
                  <c:v>WK09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  <c:pt idx="12">
                  <c:v>WK13</c:v>
                </c:pt>
                <c:pt idx="13">
                  <c:v>WK14</c:v>
                </c:pt>
                <c:pt idx="14">
                  <c:v>WK15</c:v>
                </c:pt>
                <c:pt idx="15">
                  <c:v>WK16</c:v>
                </c:pt>
                <c:pt idx="16">
                  <c:v>WK17</c:v>
                </c:pt>
              </c:strCache>
            </c:strRef>
          </c:cat>
          <c:val>
            <c:numRef>
              <c:f>'LCS Quality Status Table'!$C$37:$BC$37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1.1494252873563218E-2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A19-45A0-B99D-2581F46A2B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6584320"/>
        <c:axId val="166586240"/>
      </c:lineChart>
      <c:catAx>
        <c:axId val="16658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66586240"/>
        <c:crosses val="autoZero"/>
        <c:auto val="1"/>
        <c:lblAlgn val="ctr"/>
        <c:lblOffset val="100"/>
        <c:noMultiLvlLbl val="0"/>
      </c:catAx>
      <c:valAx>
        <c:axId val="166586240"/>
        <c:scaling>
          <c:orientation val="minMax"/>
          <c:max val="4.0000000000000008E-2"/>
          <c:min val="0"/>
        </c:scaling>
        <c:delete val="0"/>
        <c:axPos val="l"/>
        <c:numFmt formatCode="0.00%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66584320"/>
        <c:crosses val="autoZero"/>
        <c:crossBetween val="between"/>
        <c:majorUnit val="5.000000000000001E-3"/>
      </c:valAx>
      <c:valAx>
        <c:axId val="1917282895"/>
        <c:scaling>
          <c:orientation val="minMax"/>
          <c:max val="70"/>
        </c:scaling>
        <c:delete val="0"/>
        <c:axPos val="r"/>
        <c:numFmt formatCode="0_);[Red]\(0\)" sourceLinked="1"/>
        <c:majorTickMark val="out"/>
        <c:minorTickMark val="none"/>
        <c:tickLblPos val="nextTo"/>
        <c:spPr>
          <a:pattFill prst="pct10">
            <a:fgClr>
              <a:schemeClr val="bg1">
                <a:lumMod val="85000"/>
              </a:schemeClr>
            </a:fgClr>
            <a:bgClr>
              <a:schemeClr val="bg1"/>
            </a:bgClr>
          </a:pattFill>
        </c:spPr>
        <c:txPr>
          <a:bodyPr/>
          <a:lstStyle/>
          <a:p>
            <a:pPr>
              <a:defRPr sz="900"/>
            </a:pPr>
            <a:endParaRPr lang="en-US"/>
          </a:p>
        </c:txPr>
        <c:crossAx val="327670719"/>
        <c:crosses val="max"/>
        <c:crossBetween val="between"/>
        <c:majorUnit val="5"/>
      </c:valAx>
      <c:catAx>
        <c:axId val="327670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7282895"/>
        <c:crosses val="autoZero"/>
        <c:auto val="1"/>
        <c:lblAlgn val="ctr"/>
        <c:lblOffset val="100"/>
        <c:noMultiLvlLbl val="0"/>
      </c:catAx>
      <c:spPr>
        <a:pattFill prst="pct10">
          <a:fgClr>
            <a:schemeClr val="bg1">
              <a:lumMod val="85000"/>
            </a:schemeClr>
          </a:fgClr>
          <a:bgClr>
            <a:schemeClr val="bg1"/>
          </a:bgClr>
        </a:pattFill>
        <a:ln w="25400">
          <a:noFill/>
        </a:ln>
      </c:spPr>
    </c:plotArea>
    <c:legend>
      <c:legendPos val="t"/>
      <c:layout>
        <c:manualLayout>
          <c:xMode val="edge"/>
          <c:yMode val="edge"/>
          <c:x val="0.38653550246073842"/>
          <c:y val="0"/>
          <c:w val="0.24834600565874407"/>
          <c:h val="0.11795768679599981"/>
        </c:manualLayout>
      </c:layout>
      <c:overlay val="0"/>
      <c:spPr>
        <a:noFill/>
        <a:ln>
          <a:noFill/>
        </a:ln>
      </c:spPr>
    </c:legend>
    <c:plotVisOnly val="1"/>
    <c:dispBlanksAs val="gap"/>
    <c:showDLblsOverMax val="0"/>
  </c:chart>
  <c:spPr>
    <a:pattFill prst="pct5">
      <a:fgClr>
        <a:schemeClr val="bg1">
          <a:lumMod val="85000"/>
        </a:schemeClr>
      </a:fgClr>
      <a:bgClr>
        <a:schemeClr val="bg1"/>
      </a:bgClr>
    </a:pattFill>
    <a:ln w="12700">
      <a:solidFill>
        <a:schemeClr val="tx1">
          <a:lumMod val="75000"/>
          <a:lumOff val="25000"/>
        </a:schemeClr>
      </a:solidFill>
    </a:ln>
  </c:spPr>
  <c:printSettings>
    <c:headerFooter/>
    <c:pageMargins b="0.75000000000000699" l="0.70000000000000062" r="0.70000000000000062" t="0.7500000000000069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824481208600239E-2"/>
          <c:y val="5.6291401074865653E-2"/>
          <c:w val="0.94248346986831788"/>
          <c:h val="0.81894078918101343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'LCS Quality Status Table'!$B$17</c:f>
              <c:strCache>
                <c:ptCount val="1"/>
                <c:pt idx="0">
                  <c:v>Fail Q'ty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effectLst>
              <a:outerShdw blurRad="88900" dist="76200" algn="ctr" rotWithShape="0">
                <a:schemeClr val="bg1">
                  <a:lumMod val="85000"/>
                  <a:alpha val="40000"/>
                </a:schemeClr>
              </a:outerShdw>
            </a:effectLst>
          </c:spPr>
          <c:invertIfNegative val="0"/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/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2-9130-43F0-BFD2-D2E7AFABAD12}"/>
                </c:ext>
              </c:extLst>
            </c:dLbl>
            <c:dLbl>
              <c:idx val="8"/>
              <c:layout>
                <c:manualLayout>
                  <c:x val="-1.4632841702124147E-16"/>
                  <c:y val="7.202165374879022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17A-4EEE-A23E-DB649F1BBE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'LCS Quality Status Table'!#REF!</c:f>
            </c:multiLvlStrRef>
          </c:cat>
          <c:val>
            <c:numRef>
              <c:f>'LCS Quality Status Table'!$C$17:$BC$17</c:f>
              <c:numCache>
                <c:formatCode>0_);[Red]\(0\)</c:formatCode>
                <c:ptCount val="17"/>
                <c:pt idx="0">
                  <c:v>0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30-43F0-BFD2-D2E7AFABA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06356112"/>
        <c:axId val="2111660704"/>
      </c:barChart>
      <c:lineChart>
        <c:grouping val="standard"/>
        <c:varyColors val="0"/>
        <c:ser>
          <c:idx val="1"/>
          <c:order val="0"/>
          <c:tx>
            <c:strRef>
              <c:f>'LCS Quality Status Table'!$B$19</c:f>
              <c:strCache>
                <c:ptCount val="1"/>
                <c:pt idx="0">
                  <c:v>Failure Rate</c:v>
                </c:pt>
              </c:strCache>
            </c:strRef>
          </c:tx>
          <c:spPr>
            <a:ln w="12700">
              <a:solidFill>
                <a:srgbClr val="FF0000"/>
              </a:solidFill>
            </a:ln>
            <a:effectLst>
              <a:outerShdw blurRad="50800" dist="38100" dir="5400000" algn="t" rotWithShape="0">
                <a:schemeClr val="bg1">
                  <a:lumMod val="85000"/>
                  <a:alpha val="40000"/>
                </a:schemeClr>
              </a:outerShdw>
            </a:effectLst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1.9298605333716721E-2"/>
                  <c:y val="-0.1006567690946947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130-43F0-BFD2-D2E7AFABAD12}"/>
                </c:ext>
              </c:extLst>
            </c:dLbl>
            <c:dLbl>
              <c:idx val="1"/>
              <c:layout>
                <c:manualLayout>
                  <c:x val="-1.9725156276286109E-2"/>
                  <c:y val="-0.2077534747143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A7-4248-A748-C0524DE259FC}"/>
                </c:ext>
              </c:extLst>
            </c:dLbl>
            <c:dLbl>
              <c:idx val="2"/>
              <c:layout>
                <c:manualLayout>
                  <c:x val="-1.9536876666830412E-2"/>
                  <c:y val="-0.1982959428287123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130-43F0-BFD2-D2E7AFABAD12}"/>
                </c:ext>
              </c:extLst>
            </c:dLbl>
            <c:dLbl>
              <c:idx val="3"/>
              <c:layout>
                <c:manualLayout>
                  <c:x val="-1.808101209737293E-2"/>
                  <c:y val="-0.20864116118248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130-43F0-BFD2-D2E7AFABAD12}"/>
                </c:ext>
              </c:extLst>
            </c:dLbl>
            <c:dLbl>
              <c:idx val="4"/>
              <c:layout>
                <c:manualLayout>
                  <c:x val="-1.9733687444835144E-2"/>
                  <c:y val="-0.184401061871775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130-43F0-BFD2-D2E7AFABAD12}"/>
                </c:ext>
              </c:extLst>
            </c:dLbl>
            <c:dLbl>
              <c:idx val="5"/>
              <c:layout>
                <c:manualLayout>
                  <c:x val="-1.6100550192732259E-2"/>
                  <c:y val="-0.1458342756343571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130-43F0-BFD2-D2E7AFABAD12}"/>
                </c:ext>
              </c:extLst>
            </c:dLbl>
            <c:dLbl>
              <c:idx val="6"/>
              <c:layout>
                <c:manualLayout>
                  <c:x val="-1.9014504098639914E-2"/>
                  <c:y val="-0.158796713485980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130-43F0-BFD2-D2E7AFABAD12}"/>
                </c:ext>
              </c:extLst>
            </c:dLbl>
            <c:dLbl>
              <c:idx val="7"/>
              <c:layout>
                <c:manualLayout>
                  <c:x val="-2.0067925072457107E-2"/>
                  <c:y val="-0.1569253036528807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4021767602909515E-2"/>
                      <c:h val="9.98688440485401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9130-43F0-BFD2-D2E7AFABAD12}"/>
                </c:ext>
              </c:extLst>
            </c:dLbl>
            <c:dLbl>
              <c:idx val="8"/>
              <c:layout>
                <c:manualLayout>
                  <c:x val="-2.0050850707457102E-2"/>
                  <c:y val="-0.173088230689207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130-43F0-BFD2-D2E7AFABAD12}"/>
                </c:ext>
              </c:extLst>
            </c:dLbl>
            <c:dLbl>
              <c:idx val="9"/>
              <c:layout>
                <c:manualLayout>
                  <c:x val="-1.6085601541651052E-2"/>
                  <c:y val="-0.1528035221277790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130-43F0-BFD2-D2E7AFABAD12}"/>
                </c:ext>
              </c:extLst>
            </c:dLbl>
            <c:dLbl>
              <c:idx val="10"/>
              <c:layout>
                <c:manualLayout>
                  <c:x val="-2.1922098857666737E-2"/>
                  <c:y val="-0.1301157991005669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045-486A-BC6E-1BCED5AF0815}"/>
                </c:ext>
              </c:extLst>
            </c:dLbl>
            <c:dLbl>
              <c:idx val="11"/>
              <c:layout>
                <c:manualLayout>
                  <c:x val="-2.1074127930955651E-2"/>
                  <c:y val="-5.71405006462875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130-43F0-BFD2-D2E7AFABAD12}"/>
                </c:ext>
              </c:extLst>
            </c:dLbl>
            <c:dLbl>
              <c:idx val="12"/>
              <c:layout>
                <c:manualLayout>
                  <c:x val="-3.7750875550091378E-2"/>
                  <c:y val="-8.3372512742679362E-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9223731726799483E-2"/>
                      <c:h val="9.98688316974987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9130-43F0-BFD2-D2E7AFABAD12}"/>
                </c:ext>
              </c:extLst>
            </c:dLbl>
            <c:dLbl>
              <c:idx val="13"/>
              <c:layout>
                <c:manualLayout>
                  <c:x val="-2.2625440958759971E-2"/>
                  <c:y val="-0.1227703772602391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130-43F0-BFD2-D2E7AFABAD12}"/>
                </c:ext>
              </c:extLst>
            </c:dLbl>
            <c:dLbl>
              <c:idx val="15"/>
              <c:layout>
                <c:manualLayout>
                  <c:x val="-2.2843629485725887E-2"/>
                  <c:y val="-0.1143064828961898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130-43F0-BFD2-D2E7AFABAD12}"/>
                </c:ext>
              </c:extLst>
            </c:dLbl>
            <c:dLbl>
              <c:idx val="16"/>
              <c:layout>
                <c:manualLayout>
                  <c:x val="-2.2625440958759971E-2"/>
                  <c:y val="-0.12919729785943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130-43F0-BFD2-D2E7AFABAD12}"/>
                </c:ext>
              </c:extLst>
            </c:dLbl>
            <c:dLbl>
              <c:idx val="17"/>
              <c:layout>
                <c:manualLayout>
                  <c:x val="-2.2625440958759971E-2"/>
                  <c:y val="-0.1227703772602391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130-43F0-BFD2-D2E7AFABAD12}"/>
                </c:ext>
              </c:extLst>
            </c:dLbl>
            <c:dLbl>
              <c:idx val="19"/>
              <c:layout>
                <c:manualLayout>
                  <c:x val="-2.3705800022474872E-2"/>
                  <c:y val="-0.116343456661047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130-43F0-BFD2-D2E7AFABAD12}"/>
                </c:ext>
              </c:extLst>
            </c:dLbl>
            <c:dLbl>
              <c:idx val="21"/>
              <c:layout>
                <c:manualLayout>
                  <c:x val="-1.9384363767615275E-2"/>
                  <c:y val="-0.1227703772602391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130-43F0-BFD2-D2E7AFABAD12}"/>
                </c:ext>
              </c:extLst>
            </c:dLbl>
            <c:dLbl>
              <c:idx val="22"/>
              <c:layout>
                <c:manualLayout>
                  <c:x val="-2.262544095876013E-2"/>
                  <c:y val="-0.1227703772602391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130-43F0-BFD2-D2E7AFABAD12}"/>
                </c:ext>
              </c:extLst>
            </c:dLbl>
            <c:dLbl>
              <c:idx val="23"/>
              <c:layout>
                <c:manualLayout>
                  <c:x val="-2.262544095876013E-2"/>
                  <c:y val="-0.12919729785943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130-43F0-BFD2-D2E7AFABAD12}"/>
                </c:ext>
              </c:extLst>
            </c:dLbl>
            <c:dLbl>
              <c:idx val="25"/>
              <c:layout>
                <c:manualLayout>
                  <c:x val="-2.3705800022474872E-2"/>
                  <c:y val="-0.154904980256196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130-43F0-BFD2-D2E7AFABAD12}"/>
                </c:ext>
              </c:extLst>
            </c:dLbl>
            <c:dLbl>
              <c:idx val="26"/>
              <c:layout>
                <c:manualLayout>
                  <c:x val="-2.262544095876013E-2"/>
                  <c:y val="-0.12919729785943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130-43F0-BFD2-D2E7AFABAD12}"/>
                </c:ext>
              </c:extLst>
            </c:dLbl>
            <c:dLbl>
              <c:idx val="28"/>
              <c:layout>
                <c:manualLayout>
                  <c:x val="-2.262544095876013E-2"/>
                  <c:y val="-0.135624218458622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9130-43F0-BFD2-D2E7AFABAD12}"/>
                </c:ext>
              </c:extLst>
            </c:dLbl>
            <c:dLbl>
              <c:idx val="29"/>
              <c:layout>
                <c:manualLayout>
                  <c:x val="-2.2843629485725887E-2"/>
                  <c:y val="-0.1395640680025676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9130-43F0-BFD2-D2E7AFABAD12}"/>
                </c:ext>
              </c:extLst>
            </c:dLbl>
            <c:dLbl>
              <c:idx val="31"/>
              <c:layout>
                <c:manualLayout>
                  <c:x val="-2.2625440958759971E-2"/>
                  <c:y val="-0.135624218458622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130-43F0-BFD2-D2E7AFABAD12}"/>
                </c:ext>
              </c:extLst>
            </c:dLbl>
            <c:dLbl>
              <c:idx val="33"/>
              <c:layout>
                <c:manualLayout>
                  <c:x val="-2.2125838692523939E-2"/>
                  <c:y val="-0.135624218458622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9130-43F0-BFD2-D2E7AFABAD12}"/>
                </c:ext>
              </c:extLst>
            </c:dLbl>
            <c:dLbl>
              <c:idx val="35"/>
              <c:layout>
                <c:manualLayout>
                  <c:x val="-2.152942944876763E-2"/>
                  <c:y val="-0.118849955694732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9130-43F0-BFD2-D2E7AFABAD12}"/>
                </c:ext>
              </c:extLst>
            </c:dLbl>
            <c:dLbl>
              <c:idx val="36"/>
              <c:layout>
                <c:manualLayout>
                  <c:x val="-2.0095274058596804E-2"/>
                  <c:y val="-0.125276876293923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130-43F0-BFD2-D2E7AFABAD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'LCS Quality Status Table'!$C$16:$BC$16</c:f>
              <c:strCache>
                <c:ptCount val="17"/>
                <c:pt idx="0">
                  <c:v>WK01</c:v>
                </c:pt>
                <c:pt idx="1">
                  <c:v>WK02</c:v>
                </c:pt>
                <c:pt idx="2">
                  <c:v>WK03</c:v>
                </c:pt>
                <c:pt idx="3">
                  <c:v>WK04</c:v>
                </c:pt>
                <c:pt idx="4">
                  <c:v>WK05</c:v>
                </c:pt>
                <c:pt idx="5">
                  <c:v>WK06</c:v>
                </c:pt>
                <c:pt idx="6">
                  <c:v>WK07</c:v>
                </c:pt>
                <c:pt idx="7">
                  <c:v>WK08</c:v>
                </c:pt>
                <c:pt idx="8">
                  <c:v>WK09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  <c:pt idx="12">
                  <c:v>WK13</c:v>
                </c:pt>
                <c:pt idx="13">
                  <c:v>WK14</c:v>
                </c:pt>
                <c:pt idx="14">
                  <c:v>WK15</c:v>
                </c:pt>
                <c:pt idx="15">
                  <c:v>WK16</c:v>
                </c:pt>
                <c:pt idx="16">
                  <c:v>WK17</c:v>
                </c:pt>
              </c:strCache>
            </c:strRef>
          </c:cat>
          <c:val>
            <c:numRef>
              <c:f>'LCS Quality Status Table'!$C$19:$BC$19</c:f>
              <c:numCache>
                <c:formatCode>0.00%</c:formatCode>
                <c:ptCount val="17"/>
                <c:pt idx="0">
                  <c:v>0</c:v>
                </c:pt>
                <c:pt idx="1">
                  <c:v>1.2925969447708578E-2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6.3306549793036276E-3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130-43F0-BFD2-D2E7AFABAD1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5310336"/>
        <c:axId val="175312256"/>
      </c:lineChart>
      <c:catAx>
        <c:axId val="17531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75312256"/>
        <c:crosses val="autoZero"/>
        <c:auto val="1"/>
        <c:lblAlgn val="ctr"/>
        <c:lblOffset val="100"/>
        <c:noMultiLvlLbl val="0"/>
      </c:catAx>
      <c:valAx>
        <c:axId val="175312256"/>
        <c:scaling>
          <c:orientation val="minMax"/>
          <c:max val="1"/>
          <c:min val="0"/>
        </c:scaling>
        <c:delete val="0"/>
        <c:axPos val="l"/>
        <c:numFmt formatCode="0.00%" sourceLinked="1"/>
        <c:majorTickMark val="out"/>
        <c:minorTickMark val="none"/>
        <c:tickLblPos val="nextTo"/>
        <c:spPr>
          <a:ln>
            <a:solidFill>
              <a:sysClr val="windowText" lastClr="000000">
                <a:tint val="75000"/>
                <a:shade val="95000"/>
                <a:satMod val="105000"/>
              </a:sys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175310336"/>
        <c:crosses val="autoZero"/>
        <c:crossBetween val="between"/>
        <c:minorUnit val="5.000000000000001E-2"/>
      </c:valAx>
      <c:valAx>
        <c:axId val="2111660704"/>
        <c:scaling>
          <c:orientation val="minMax"/>
        </c:scaling>
        <c:delete val="0"/>
        <c:axPos val="r"/>
        <c:numFmt formatCode="0_);[Red]\(0\)" sourceLinked="1"/>
        <c:majorTickMark val="out"/>
        <c:minorTickMark val="none"/>
        <c:tickLblPos val="nextTo"/>
        <c:crossAx val="2106356112"/>
        <c:crosses val="max"/>
        <c:crossBetween val="between"/>
      </c:valAx>
      <c:catAx>
        <c:axId val="2106356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1660704"/>
        <c:crosses val="autoZero"/>
        <c:auto val="1"/>
        <c:lblAlgn val="ctr"/>
        <c:lblOffset val="100"/>
        <c:noMultiLvlLbl val="0"/>
      </c:catAx>
      <c:spPr>
        <a:pattFill prst="pct10">
          <a:fgClr>
            <a:schemeClr val="bg1">
              <a:lumMod val="85000"/>
            </a:schemeClr>
          </a:fgClr>
          <a:bgClr>
            <a:schemeClr val="bg1"/>
          </a:bgClr>
        </a:pattFill>
        <a:ln>
          <a:noFill/>
        </a:ln>
      </c:spPr>
    </c:plotArea>
    <c:legend>
      <c:legendPos val="t"/>
      <c:layout>
        <c:manualLayout>
          <c:xMode val="edge"/>
          <c:yMode val="edge"/>
          <c:x val="0.41292915467522939"/>
          <c:y val="4.7409566523374299E-3"/>
          <c:w val="0.23182254234083263"/>
          <c:h val="0.12313860190584859"/>
        </c:manualLayout>
      </c:layout>
      <c:overlay val="0"/>
    </c:legend>
    <c:plotVisOnly val="1"/>
    <c:dispBlanksAs val="gap"/>
    <c:showDLblsOverMax val="0"/>
  </c:chart>
  <c:spPr>
    <a:pattFill prst="pct5">
      <a:fgClr>
        <a:schemeClr val="bg1">
          <a:lumMod val="85000"/>
        </a:schemeClr>
      </a:fgClr>
      <a:bgClr>
        <a:schemeClr val="bg1"/>
      </a:bgClr>
    </a:pattFill>
    <a:ln w="12700">
      <a:solidFill>
        <a:schemeClr val="tx1">
          <a:lumMod val="75000"/>
          <a:lumOff val="25000"/>
        </a:schemeClr>
      </a:solidFill>
    </a:ln>
  </c:spPr>
  <c:printSettings>
    <c:headerFooter/>
    <c:pageMargins b="0.75000000000000699" l="0.70000000000000062" r="0.70000000000000062" t="0.7500000000000069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819001360376281E-2"/>
          <c:y val="8.502089283318319E-2"/>
          <c:w val="0.93901168922986644"/>
          <c:h val="0.8023641663633752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'LCS Quality Status Table'!$B$23</c:f>
              <c:strCache>
                <c:ptCount val="1"/>
                <c:pt idx="0">
                  <c:v>Fail Q'ty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noFill/>
            </a:ln>
            <a:effectLst>
              <a:outerShdw blurRad="88900" dist="76200" algn="ctr" rotWithShape="0">
                <a:schemeClr val="bg1">
                  <a:lumMod val="85000"/>
                  <a:alpha val="4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2.0033146181157846E-3"/>
                  <c:y val="-4.868602830785862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32D-4A48-A9F9-8D555FF449EC}"/>
                </c:ext>
              </c:extLst>
            </c:dLbl>
            <c:dLbl>
              <c:idx val="5"/>
              <c:layout>
                <c:manualLayout>
                  <c:x val="-7.3164208510620734E-17"/>
                  <c:y val="-1.33807797877745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32D-4A48-A9F9-8D555FF449EC}"/>
                </c:ext>
              </c:extLst>
            </c:dLbl>
            <c:dLbl>
              <c:idx val="8"/>
              <c:layout>
                <c:manualLayout>
                  <c:x val="0"/>
                  <c:y val="9.989246906465933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2D-4A48-A9F9-8D555FF449EC}"/>
                </c:ext>
              </c:extLst>
            </c:dLbl>
            <c:dLbl>
              <c:idx val="21"/>
              <c:layout>
                <c:manualLayout>
                  <c:x val="0"/>
                  <c:y val="7.87530667252355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2D-4A48-A9F9-8D555FF449EC}"/>
                </c:ext>
              </c:extLst>
            </c:dLbl>
            <c:dLbl>
              <c:idx val="22"/>
              <c:layout>
                <c:manualLayout>
                  <c:x val="0"/>
                  <c:y val="8.83775669018652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2D-4A48-A9F9-8D555FF449EC}"/>
                </c:ext>
              </c:extLst>
            </c:dLbl>
            <c:dLbl>
              <c:idx val="29"/>
              <c:layout>
                <c:manualLayout>
                  <c:x val="0"/>
                  <c:y val="7.560857564547342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2D-4A48-A9F9-8D555FF449EC}"/>
                </c:ext>
              </c:extLst>
            </c:dLbl>
            <c:dLbl>
              <c:idx val="31"/>
              <c:layout>
                <c:manualLayout>
                  <c:x val="0"/>
                  <c:y val="8.83775669018652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2D-4A48-A9F9-8D555FF449EC}"/>
                </c:ext>
              </c:extLst>
            </c:dLbl>
            <c:dLbl>
              <c:idx val="33"/>
              <c:layout>
                <c:manualLayout>
                  <c:x val="0"/>
                  <c:y val="9.109528434963072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32D-4A48-A9F9-8D555FF449EC}"/>
                </c:ext>
              </c:extLst>
            </c:dLbl>
            <c:dLbl>
              <c:idx val="36"/>
              <c:layout>
                <c:manualLayout>
                  <c:x val="-1.0576740746114728E-3"/>
                  <c:y val="9.75357478292537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6058260616803355E-2"/>
                      <c:h val="8.630319969562340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2D-4A48-A9F9-8D555FF449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'LCS Quality Status Table'!#REF!</c:f>
            </c:multiLvlStrRef>
          </c:cat>
          <c:val>
            <c:numRef>
              <c:f>'LCS Quality Status Table'!$C$23:$BC$23</c:f>
              <c:numCache>
                <c:formatCode>0_);[Red]\(0\)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2D-4A48-A9F9-8D555FF449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27670719"/>
        <c:axId val="1917282895"/>
      </c:barChart>
      <c:lineChart>
        <c:grouping val="standard"/>
        <c:varyColors val="0"/>
        <c:ser>
          <c:idx val="0"/>
          <c:order val="0"/>
          <c:tx>
            <c:strRef>
              <c:f>'LCS Quality Status Table'!$B$25</c:f>
              <c:strCache>
                <c:ptCount val="1"/>
                <c:pt idx="0">
                  <c:v>Failure Rate</c:v>
                </c:pt>
              </c:strCache>
            </c:strRef>
          </c:tx>
          <c:spPr>
            <a:ln w="12700">
              <a:solidFill>
                <a:srgbClr val="FF0000"/>
              </a:solidFill>
            </a:ln>
            <a:effectLst>
              <a:outerShdw blurRad="88900" dist="76200" algn="l" rotWithShape="0">
                <a:schemeClr val="bg1">
                  <a:lumMod val="85000"/>
                  <a:alpha val="40000"/>
                </a:schemeClr>
              </a:outerShdw>
            </a:effectLst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2.3681085715395806E-2"/>
                  <c:y val="-0.185570048494374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32D-4A48-A9F9-8D555FF449EC}"/>
                </c:ext>
              </c:extLst>
            </c:dLbl>
            <c:dLbl>
              <c:idx val="2"/>
              <c:layout>
                <c:manualLayout>
                  <c:x val="-1.9647330824143838E-2"/>
                  <c:y val="-0.128200122430881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87-4799-8BB9-CB847B9B16EC}"/>
                </c:ext>
              </c:extLst>
            </c:dLbl>
            <c:dLbl>
              <c:idx val="3"/>
              <c:layout>
                <c:manualLayout>
                  <c:x val="-2.4171094607886506E-2"/>
                  <c:y val="-0.1203687440771226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32D-4A48-A9F9-8D555FF449EC}"/>
                </c:ext>
              </c:extLst>
            </c:dLbl>
            <c:dLbl>
              <c:idx val="4"/>
              <c:layout>
                <c:manualLayout>
                  <c:x val="-2.0645036102004834E-2"/>
                  <c:y val="-0.1338998005561450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587-4799-8BB9-CB847B9B16EC}"/>
                </c:ext>
              </c:extLst>
            </c:dLbl>
            <c:dLbl>
              <c:idx val="5"/>
              <c:layout>
                <c:manualLayout>
                  <c:x val="-1.9647330824143838E-2"/>
                  <c:y val="-0.150998834931936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587-4799-8BB9-CB847B9B16EC}"/>
                </c:ext>
              </c:extLst>
            </c:dLbl>
            <c:dLbl>
              <c:idx val="6"/>
              <c:layout>
                <c:manualLayout>
                  <c:x val="-1.9647330824143838E-2"/>
                  <c:y val="-0.145299156806672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31-4853-81D7-E81B80C29012}"/>
                </c:ext>
              </c:extLst>
            </c:dLbl>
            <c:dLbl>
              <c:idx val="7"/>
              <c:layout>
                <c:manualLayout>
                  <c:x val="-1.9647330824143838E-2"/>
                  <c:y val="-0.1566985130571997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587-4799-8BB9-CB847B9B16EC}"/>
                </c:ext>
              </c:extLst>
            </c:dLbl>
            <c:dLbl>
              <c:idx val="8"/>
              <c:layout>
                <c:manualLayout>
                  <c:x val="-1.8733733899618531E-2"/>
                  <c:y val="-0.129741777694913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6B0-42E8-9002-8E994441AF4D}"/>
                </c:ext>
              </c:extLst>
            </c:dLbl>
            <c:dLbl>
              <c:idx val="9"/>
              <c:layout>
                <c:manualLayout>
                  <c:x val="-1.171829994491819E-2"/>
                  <c:y val="-0.136072955104474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B0-42E8-9002-8E994441AF4D}"/>
                </c:ext>
              </c:extLst>
            </c:dLbl>
            <c:dLbl>
              <c:idx val="10"/>
              <c:layout>
                <c:manualLayout>
                  <c:x val="-1.6654214990561078E-2"/>
                  <c:y val="-0.128200122430881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31-4853-81D7-E81B80C29012}"/>
                </c:ext>
              </c:extLst>
            </c:dLbl>
            <c:dLbl>
              <c:idx val="11"/>
              <c:layout>
                <c:manualLayout>
                  <c:x val="-1.9647330824143838E-2"/>
                  <c:y val="-0.122500444305617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D8-4D20-B1C2-11E0A5DB6200}"/>
                </c:ext>
              </c:extLst>
            </c:dLbl>
            <c:dLbl>
              <c:idx val="12"/>
              <c:layout>
                <c:manualLayout>
                  <c:x val="-1.9647330824143987E-2"/>
                  <c:y val="-0.111101088055090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D8-4D20-B1C2-11E0A5DB6200}"/>
                </c:ext>
              </c:extLst>
            </c:dLbl>
            <c:dLbl>
              <c:idx val="13"/>
              <c:layout>
                <c:manualLayout>
                  <c:x val="-1.9647330824143838E-2"/>
                  <c:y val="-0.128200122430881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CC3-482F-9457-C85E33D522C8}"/>
                </c:ext>
              </c:extLst>
            </c:dLbl>
            <c:dLbl>
              <c:idx val="14"/>
              <c:layout>
                <c:manualLayout>
                  <c:x val="-1.8649625546282918E-2"/>
                  <c:y val="-0.1338998005561450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87-4799-8BB9-CB847B9B16EC}"/>
                </c:ext>
              </c:extLst>
            </c:dLbl>
            <c:dLbl>
              <c:idx val="15"/>
              <c:layout>
                <c:manualLayout>
                  <c:x val="-1.9647330824143987E-2"/>
                  <c:y val="-0.1395994786814087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87-4799-8BB9-CB847B9B16EC}"/>
                </c:ext>
              </c:extLst>
            </c:dLbl>
            <c:dLbl>
              <c:idx val="16"/>
              <c:layout>
                <c:manualLayout>
                  <c:x val="-2.2640446657726746E-2"/>
                  <c:y val="-0.1395994786814087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87-4799-8BB9-CB847B9B16EC}"/>
                </c:ext>
              </c:extLst>
            </c:dLbl>
            <c:dLbl>
              <c:idx val="17"/>
              <c:layout>
                <c:manualLayout>
                  <c:x val="-1.9647330824143838E-2"/>
                  <c:y val="-0.128200122430881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87-4799-8BB9-CB847B9B16EC}"/>
                </c:ext>
              </c:extLst>
            </c:dLbl>
            <c:dLbl>
              <c:idx val="18"/>
              <c:layout>
                <c:manualLayout>
                  <c:x val="-1.6654214990561078E-2"/>
                  <c:y val="-0.1395994786814087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87-4799-8BB9-CB847B9B16EC}"/>
                </c:ext>
              </c:extLst>
            </c:dLbl>
            <c:dLbl>
              <c:idx val="22"/>
              <c:layout>
                <c:manualLayout>
                  <c:x val="-2.3705800022475031E-2"/>
                  <c:y val="-3.76593130049559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32D-4A48-A9F9-8D555FF449EC}"/>
                </c:ext>
              </c:extLst>
            </c:dLbl>
            <c:dLbl>
              <c:idx val="26"/>
              <c:layout>
                <c:manualLayout>
                  <c:x val="-2.2625440958759971E-2"/>
                  <c:y val="-0.130225945187919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32D-4A48-A9F9-8D555FF449EC}"/>
                </c:ext>
              </c:extLst>
            </c:dLbl>
            <c:dLbl>
              <c:idx val="36"/>
              <c:layout>
                <c:manualLayout>
                  <c:x val="-2.1274992129116509E-2"/>
                  <c:y val="-2.77238278173176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32D-4A48-A9F9-8D555FF449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'LCS Quality Status Table'!$C$22:$BC$22</c:f>
              <c:strCache>
                <c:ptCount val="17"/>
                <c:pt idx="0">
                  <c:v>WK01</c:v>
                </c:pt>
                <c:pt idx="1">
                  <c:v>WK02</c:v>
                </c:pt>
                <c:pt idx="2">
                  <c:v>WK03</c:v>
                </c:pt>
                <c:pt idx="3">
                  <c:v>WK04</c:v>
                </c:pt>
                <c:pt idx="4">
                  <c:v>WK05</c:v>
                </c:pt>
                <c:pt idx="5">
                  <c:v>WK06</c:v>
                </c:pt>
                <c:pt idx="6">
                  <c:v>WK07</c:v>
                </c:pt>
                <c:pt idx="7">
                  <c:v>WK08</c:v>
                </c:pt>
                <c:pt idx="8">
                  <c:v>WK09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  <c:pt idx="12">
                  <c:v>WK13</c:v>
                </c:pt>
                <c:pt idx="13">
                  <c:v>WK14</c:v>
                </c:pt>
                <c:pt idx="14">
                  <c:v>WK15</c:v>
                </c:pt>
                <c:pt idx="15">
                  <c:v>WK16</c:v>
                </c:pt>
                <c:pt idx="16">
                  <c:v>WK17</c:v>
                </c:pt>
              </c:strCache>
            </c:strRef>
          </c:cat>
          <c:val>
            <c:numRef>
              <c:f>'LCS Quality Status Table'!$C$25:$BC$25</c:f>
              <c:numCache>
                <c:formatCode>0.00%</c:formatCode>
                <c:ptCount val="17"/>
                <c:pt idx="0">
                  <c:v>0</c:v>
                </c:pt>
                <c:pt idx="1">
                  <c:v>3.952569169960474E-3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2.2988505747126436E-2</c:v>
                </c:pt>
                <c:pt idx="13">
                  <c:v>0</c:v>
                </c:pt>
                <c:pt idx="14">
                  <c:v>0</c:v>
                </c:pt>
                <c:pt idx="15">
                  <c:v>0.13580246913580246</c:v>
                </c:pt>
                <c:pt idx="16">
                  <c:v>0.20289855072463769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32D-4A48-A9F9-8D555FF449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6584320"/>
        <c:axId val="166586240"/>
      </c:lineChart>
      <c:catAx>
        <c:axId val="16658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66586240"/>
        <c:crosses val="autoZero"/>
        <c:auto val="1"/>
        <c:lblAlgn val="ctr"/>
        <c:lblOffset val="100"/>
        <c:noMultiLvlLbl val="0"/>
      </c:catAx>
      <c:valAx>
        <c:axId val="166586240"/>
        <c:scaling>
          <c:orientation val="minMax"/>
          <c:max val="0.30000000000000004"/>
          <c:min val="0"/>
        </c:scaling>
        <c:delete val="0"/>
        <c:axPos val="l"/>
        <c:numFmt formatCode="0.00%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66584320"/>
        <c:crosses val="autoZero"/>
        <c:crossBetween val="between"/>
      </c:valAx>
      <c:valAx>
        <c:axId val="1917282895"/>
        <c:scaling>
          <c:orientation val="minMax"/>
          <c:max val="70"/>
        </c:scaling>
        <c:delete val="0"/>
        <c:axPos val="r"/>
        <c:numFmt formatCode="0_);[Red]\(0\)" sourceLinked="1"/>
        <c:majorTickMark val="out"/>
        <c:minorTickMark val="none"/>
        <c:tickLblPos val="nextTo"/>
        <c:spPr>
          <a:pattFill prst="pct10">
            <a:fgClr>
              <a:schemeClr val="bg1">
                <a:lumMod val="85000"/>
              </a:schemeClr>
            </a:fgClr>
            <a:bgClr>
              <a:schemeClr val="bg1"/>
            </a:bgClr>
          </a:pattFill>
        </c:spPr>
        <c:txPr>
          <a:bodyPr/>
          <a:lstStyle/>
          <a:p>
            <a:pPr>
              <a:defRPr sz="900"/>
            </a:pPr>
            <a:endParaRPr lang="en-US"/>
          </a:p>
        </c:txPr>
        <c:crossAx val="327670719"/>
        <c:crosses val="max"/>
        <c:crossBetween val="between"/>
        <c:majorUnit val="5"/>
      </c:valAx>
      <c:catAx>
        <c:axId val="327670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7282895"/>
        <c:crosses val="autoZero"/>
        <c:auto val="1"/>
        <c:lblAlgn val="ctr"/>
        <c:lblOffset val="100"/>
        <c:noMultiLvlLbl val="0"/>
      </c:catAx>
      <c:spPr>
        <a:pattFill prst="pct10">
          <a:fgClr>
            <a:schemeClr val="bg1">
              <a:lumMod val="85000"/>
            </a:schemeClr>
          </a:fgClr>
          <a:bgClr>
            <a:schemeClr val="bg1"/>
          </a:bgClr>
        </a:pattFill>
        <a:ln w="25400">
          <a:noFill/>
        </a:ln>
      </c:spPr>
    </c:plotArea>
    <c:legend>
      <c:legendPos val="t"/>
      <c:layout>
        <c:manualLayout>
          <c:xMode val="edge"/>
          <c:yMode val="edge"/>
          <c:x val="0.38653550246073842"/>
          <c:y val="0"/>
          <c:w val="0.24834600565874407"/>
          <c:h val="0.11795768679599981"/>
        </c:manualLayout>
      </c:layout>
      <c:overlay val="0"/>
      <c:spPr>
        <a:noFill/>
        <a:ln>
          <a:noFill/>
        </a:ln>
      </c:spPr>
    </c:legend>
    <c:plotVisOnly val="1"/>
    <c:dispBlanksAs val="gap"/>
    <c:showDLblsOverMax val="0"/>
  </c:chart>
  <c:spPr>
    <a:pattFill prst="pct5">
      <a:fgClr>
        <a:schemeClr val="bg1">
          <a:lumMod val="85000"/>
        </a:schemeClr>
      </a:fgClr>
      <a:bgClr>
        <a:schemeClr val="bg1"/>
      </a:bgClr>
    </a:pattFill>
    <a:ln w="12700">
      <a:solidFill>
        <a:schemeClr val="tx1">
          <a:lumMod val="75000"/>
          <a:lumOff val="25000"/>
        </a:schemeClr>
      </a:solidFill>
    </a:ln>
  </c:spPr>
  <c:printSettings>
    <c:headerFooter/>
    <c:pageMargins b="0.75000000000000699" l="0.70000000000000062" r="0.70000000000000062" t="0.7500000000000069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824481208600239E-2"/>
          <c:y val="5.6291401074865653E-2"/>
          <c:w val="0.94248346986831788"/>
          <c:h val="0.81894078918101343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'LCS Quality Status Table'!$B$29</c:f>
              <c:strCache>
                <c:ptCount val="1"/>
                <c:pt idx="0">
                  <c:v>Fail Q'ty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effectLst>
              <a:outerShdw blurRad="88900" dist="76200" algn="ctr" rotWithShape="0">
                <a:schemeClr val="bg1">
                  <a:lumMod val="85000"/>
                  <a:alpha val="4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1107533491399986E-4"/>
                  <c:y val="-4.1920723629593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83-4543-81A4-8BF71CCEE513}"/>
                </c:ext>
              </c:extLst>
            </c:dLbl>
            <c:dLbl>
              <c:idx val="1"/>
              <c:layout>
                <c:manualLayout>
                  <c:x val="-3.8638292889950505E-5"/>
                  <c:y val="-5.011869729716373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83-4543-81A4-8BF71CCEE513}"/>
                </c:ext>
              </c:extLst>
            </c:dLbl>
            <c:dLbl>
              <c:idx val="2"/>
              <c:layout>
                <c:manualLayout>
                  <c:x val="-1.383250885460915E-3"/>
                  <c:y val="-3.946729288911340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/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3295880149812735E-2"/>
                      <c:h val="9.33007029462508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583-4543-81A4-8BF71CCEE513}"/>
                </c:ext>
              </c:extLst>
            </c:dLbl>
            <c:dLbl>
              <c:idx val="3"/>
              <c:layout>
                <c:manualLayout>
                  <c:x val="0"/>
                  <c:y val="-4.32040713883967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CD-43D0-89F9-CDB44CDFACF0}"/>
                </c:ext>
              </c:extLst>
            </c:dLbl>
            <c:dLbl>
              <c:idx val="4"/>
              <c:layout>
                <c:manualLayout>
                  <c:x val="-2.598756939769146E-3"/>
                  <c:y val="-5.391586269266242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83-4543-81A4-8BF71CCEE513}"/>
                </c:ext>
              </c:extLst>
            </c:dLbl>
            <c:dLbl>
              <c:idx val="5"/>
              <c:layout>
                <c:manualLayout>
                  <c:x val="-3.1222862941388831E-6"/>
                  <c:y val="-5.507280807424233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FE-4017-8EEA-F8D3B7D3B4CF}"/>
                </c:ext>
              </c:extLst>
            </c:dLbl>
            <c:dLbl>
              <c:idx val="6"/>
              <c:layout>
                <c:manualLayout>
                  <c:x val="1.4539278550720231E-16"/>
                  <c:y val="-6.57462915926280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A9-495D-BA3C-7FE74BAFC54F}"/>
                </c:ext>
              </c:extLst>
            </c:dLbl>
            <c:dLbl>
              <c:idx val="7"/>
              <c:layout>
                <c:manualLayout>
                  <c:x val="0"/>
                  <c:y val="-6.01381975674120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94C-4690-AA09-B43409E54C55}"/>
                </c:ext>
              </c:extLst>
            </c:dLbl>
            <c:dLbl>
              <c:idx val="8"/>
              <c:layout>
                <c:manualLayout>
                  <c:x val="-9.9757047097751863E-4"/>
                  <c:y val="-5.2762449968736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C9-43B6-AF6E-7F1E84A737A2}"/>
                </c:ext>
              </c:extLst>
            </c:dLbl>
            <c:dLbl>
              <c:idx val="9"/>
              <c:layout>
                <c:manualLayout>
                  <c:x val="0"/>
                  <c:y val="-6.16890342773771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4F-4901-B6C7-DAD4FBBD8A79}"/>
                </c:ext>
              </c:extLst>
            </c:dLbl>
            <c:dLbl>
              <c:idx val="10"/>
              <c:layout>
                <c:manualLayout>
                  <c:x val="0"/>
                  <c:y val="3.51275937562367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60-4DE2-B21B-FBE438D3230E}"/>
                </c:ext>
              </c:extLst>
            </c:dLbl>
            <c:dLbl>
              <c:idx val="11"/>
              <c:layout>
                <c:manualLayout>
                  <c:x val="0"/>
                  <c:y val="-4.72060210617049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83-4543-81A4-8BF71CCEE513}"/>
                </c:ext>
              </c:extLst>
            </c:dLbl>
            <c:dLbl>
              <c:idx val="12"/>
              <c:layout>
                <c:manualLayout>
                  <c:x val="0"/>
                  <c:y val="-5.09554790171092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83-4543-81A4-8BF71CCEE513}"/>
                </c:ext>
              </c:extLst>
            </c:dLbl>
            <c:dLbl>
              <c:idx val="13"/>
              <c:layout>
                <c:manualLayout>
                  <c:x val="-1.4539278550720231E-16"/>
                  <c:y val="-5.76054285178623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25-4531-A0CD-56AC0220D5C4}"/>
                </c:ext>
              </c:extLst>
            </c:dLbl>
            <c:dLbl>
              <c:idx val="14"/>
              <c:layout>
                <c:manualLayout>
                  <c:x val="0"/>
                  <c:y val="-4.80045237648852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CD-43D0-89F9-CDB44CDFAC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'LCS Quality Status Table'!#REF!</c:f>
            </c:multiLvlStrRef>
          </c:cat>
          <c:val>
            <c:numRef>
              <c:f>'LCS Quality Status Table'!$C$29:$BC$29</c:f>
              <c:numCache>
                <c:formatCode>0_);[Red]\(0\)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83-4543-81A4-8BF71CCEE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266271"/>
        <c:axId val="244194095"/>
      </c:barChart>
      <c:lineChart>
        <c:grouping val="standard"/>
        <c:varyColors val="0"/>
        <c:ser>
          <c:idx val="1"/>
          <c:order val="0"/>
          <c:tx>
            <c:strRef>
              <c:f>'LCS Quality Status Table'!$B$31</c:f>
              <c:strCache>
                <c:ptCount val="1"/>
                <c:pt idx="0">
                  <c:v>Failure Rate</c:v>
                </c:pt>
              </c:strCache>
            </c:strRef>
          </c:tx>
          <c:spPr>
            <a:ln w="12700">
              <a:solidFill>
                <a:srgbClr val="FF0000"/>
              </a:solidFill>
            </a:ln>
            <a:effectLst>
              <a:outerShdw blurRad="50800" dist="38100" dir="5400000" algn="t" rotWithShape="0">
                <a:schemeClr val="bg1">
                  <a:lumMod val="85000"/>
                  <a:alpha val="40000"/>
                </a:schemeClr>
              </a:outerShdw>
            </a:effectLst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1.9298602576588254E-2"/>
                  <c:y val="-0.1988562490397891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583-4543-81A4-8BF71CCEE513}"/>
                </c:ext>
              </c:extLst>
            </c:dLbl>
            <c:dLbl>
              <c:idx val="1"/>
              <c:layout>
                <c:manualLayout>
                  <c:x val="1.1340143820312424E-3"/>
                  <c:y val="6.078431076087548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7E-4D64-AEC3-B0D47DD249AF}"/>
                </c:ext>
              </c:extLst>
            </c:dLbl>
            <c:dLbl>
              <c:idx val="2"/>
              <c:layout>
                <c:manualLayout>
                  <c:x val="-2.4561662536604856E-2"/>
                  <c:y val="-0.1777647654078146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583-4543-81A4-8BF71CCEE513}"/>
                </c:ext>
              </c:extLst>
            </c:dLbl>
            <c:dLbl>
              <c:idx val="3"/>
              <c:layout>
                <c:manualLayout>
                  <c:x val="-2.2270175335889743E-2"/>
                  <c:y val="-0.1536227917919068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vertOverflow="overflow" horzOverflow="overflow" wrap="square" lIns="38100" tIns="19050" rIns="38100" bIns="19050" anchor="ctr">
                  <a:spAutoFit/>
                </a:bodyPr>
                <a:lstStyle/>
                <a:p>
                  <a:pPr>
                    <a:defRPr sz="900"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583-4543-81A4-8BF71CCEE513}"/>
                </c:ext>
              </c:extLst>
            </c:dLbl>
            <c:dLbl>
              <c:idx val="4"/>
              <c:layout>
                <c:manualLayout>
                  <c:x val="-2.0742674823639683E-2"/>
                  <c:y val="-0.1891243601473824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583-4543-81A4-8BF71CCEE513}"/>
                </c:ext>
              </c:extLst>
            </c:dLbl>
            <c:dLbl>
              <c:idx val="5"/>
              <c:layout>
                <c:manualLayout>
                  <c:x val="-2.2078232785957518E-2"/>
                  <c:y val="-0.190845206006931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583-4543-81A4-8BF71CCEE513}"/>
                </c:ext>
              </c:extLst>
            </c:dLbl>
            <c:dLbl>
              <c:idx val="6"/>
              <c:layout>
                <c:manualLayout>
                  <c:x val="-2.3069558684346684E-2"/>
                  <c:y val="-0.1852371119817149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583-4543-81A4-8BF71CCEE513}"/>
                </c:ext>
              </c:extLst>
            </c:dLbl>
            <c:dLbl>
              <c:idx val="7"/>
              <c:layout>
                <c:manualLayout>
                  <c:x val="-2.5052229976651505E-2"/>
                  <c:y val="-0.1067475975903596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4021767602909515E-2"/>
                      <c:h val="9.98688440485401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B583-4543-81A4-8BF71CCEE513}"/>
                </c:ext>
              </c:extLst>
            </c:dLbl>
            <c:dLbl>
              <c:idx val="8"/>
              <c:layout>
                <c:manualLayout>
                  <c:x val="-2.3069558684346615E-2"/>
                  <c:y val="-0.1684128299060666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583-4543-81A4-8BF71CCEE513}"/>
                </c:ext>
              </c:extLst>
            </c:dLbl>
            <c:dLbl>
              <c:idx val="9"/>
              <c:layout>
                <c:manualLayout>
                  <c:x val="-2.1086906887568566E-2"/>
                  <c:y val="-0.171643387622543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583-4543-81A4-8BF71CCEE513}"/>
                </c:ext>
              </c:extLst>
            </c:dLbl>
            <c:dLbl>
              <c:idx val="10"/>
              <c:layout>
                <c:manualLayout>
                  <c:x val="-2.1504356565094935E-2"/>
                  <c:y val="-0.567064965618177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60-4DE2-B21B-FBE438D3230E}"/>
                </c:ext>
              </c:extLst>
            </c:dLbl>
            <c:dLbl>
              <c:idx val="11"/>
              <c:layout>
                <c:manualLayout>
                  <c:x val="-2.0095580989179327E-2"/>
                  <c:y val="-0.1786827072875194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583-4543-81A4-8BF71CCEE513}"/>
                </c:ext>
              </c:extLst>
            </c:dLbl>
            <c:dLbl>
              <c:idx val="12"/>
              <c:layout>
                <c:manualLayout>
                  <c:x val="-2.6242777273658636E-2"/>
                  <c:y val="-0.166547726324320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22489604529771E-2"/>
                      <c:h val="9.98688440485401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B583-4543-81A4-8BF71CCEE513}"/>
                </c:ext>
              </c:extLst>
            </c:dLbl>
            <c:dLbl>
              <c:idx val="13"/>
              <c:layout>
                <c:manualLayout>
                  <c:x val="-2.2625413459005355E-2"/>
                  <c:y val="-0.1707747703342627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583-4543-81A4-8BF71CCEE513}"/>
                </c:ext>
              </c:extLst>
            </c:dLbl>
            <c:dLbl>
              <c:idx val="14"/>
              <c:layout>
                <c:manualLayout>
                  <c:x val="-2.4478334260262077E-2"/>
                  <c:y val="-0.1607792457166358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CD-43D0-89F9-CDB44CDFACF0}"/>
                </c:ext>
              </c:extLst>
            </c:dLbl>
            <c:dLbl>
              <c:idx val="15"/>
              <c:layout>
                <c:manualLayout>
                  <c:x val="-1.9869683575798377E-2"/>
                  <c:y val="-0.147909497487133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583-4543-81A4-8BF71CCEE513}"/>
                </c:ext>
              </c:extLst>
            </c:dLbl>
            <c:dLbl>
              <c:idx val="16"/>
              <c:layout>
                <c:manualLayout>
                  <c:x val="-2.2625413459005355E-2"/>
                  <c:y val="-0.143598540057696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583-4543-81A4-8BF71CCEE513}"/>
                </c:ext>
              </c:extLst>
            </c:dLbl>
            <c:dLbl>
              <c:idx val="17"/>
              <c:layout>
                <c:manualLayout>
                  <c:x val="-2.4608065255783549E-2"/>
                  <c:y val="-0.151572960828308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83-4543-81A4-8BF71CCEE513}"/>
                </c:ext>
              </c:extLst>
            </c:dLbl>
            <c:dLbl>
              <c:idx val="18"/>
              <c:layout>
                <c:manualLayout>
                  <c:x val="-1.9521704768316599E-2"/>
                  <c:y val="-0.155978793340147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CD-43D0-89F9-CDB44CDFACF0}"/>
                </c:ext>
              </c:extLst>
            </c:dLbl>
            <c:dLbl>
              <c:idx val="19"/>
              <c:layout>
                <c:manualLayout>
                  <c:x val="-2.3705800022474872E-2"/>
                  <c:y val="-0.116343456661047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583-4543-81A4-8BF71CCEE513}"/>
                </c:ext>
              </c:extLst>
            </c:dLbl>
            <c:dLbl>
              <c:idx val="21"/>
              <c:layout>
                <c:manualLayout>
                  <c:x val="-1.9384363767615275E-2"/>
                  <c:y val="-0.1227703772602391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583-4543-81A4-8BF71CCEE513}"/>
                </c:ext>
              </c:extLst>
            </c:dLbl>
            <c:dLbl>
              <c:idx val="22"/>
              <c:layout>
                <c:manualLayout>
                  <c:x val="-2.262544095876013E-2"/>
                  <c:y val="-0.1227703772602391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583-4543-81A4-8BF71CCEE513}"/>
                </c:ext>
              </c:extLst>
            </c:dLbl>
            <c:dLbl>
              <c:idx val="23"/>
              <c:layout>
                <c:manualLayout>
                  <c:x val="-2.262544095876013E-2"/>
                  <c:y val="-0.12919729785943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583-4543-81A4-8BF71CCEE513}"/>
                </c:ext>
              </c:extLst>
            </c:dLbl>
            <c:dLbl>
              <c:idx val="25"/>
              <c:layout>
                <c:manualLayout>
                  <c:x val="-2.3705800022474872E-2"/>
                  <c:y val="-0.154904980256196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583-4543-81A4-8BF71CCEE513}"/>
                </c:ext>
              </c:extLst>
            </c:dLbl>
            <c:dLbl>
              <c:idx val="26"/>
              <c:layout>
                <c:manualLayout>
                  <c:x val="-2.262544095876013E-2"/>
                  <c:y val="-0.12919729785943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583-4543-81A4-8BF71CCEE513}"/>
                </c:ext>
              </c:extLst>
            </c:dLbl>
            <c:dLbl>
              <c:idx val="28"/>
              <c:layout>
                <c:manualLayout>
                  <c:x val="-2.262544095876013E-2"/>
                  <c:y val="-0.135624218458622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583-4543-81A4-8BF71CCEE513}"/>
                </c:ext>
              </c:extLst>
            </c:dLbl>
            <c:dLbl>
              <c:idx val="29"/>
              <c:layout>
                <c:manualLayout>
                  <c:x val="-2.2843629485725887E-2"/>
                  <c:y val="-0.1395640680025676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583-4543-81A4-8BF71CCEE513}"/>
                </c:ext>
              </c:extLst>
            </c:dLbl>
            <c:dLbl>
              <c:idx val="31"/>
              <c:layout>
                <c:manualLayout>
                  <c:x val="-2.2625440958759971E-2"/>
                  <c:y val="-0.135624218458622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583-4543-81A4-8BF71CCEE513}"/>
                </c:ext>
              </c:extLst>
            </c:dLbl>
            <c:dLbl>
              <c:idx val="33"/>
              <c:layout>
                <c:manualLayout>
                  <c:x val="-2.2125838692523939E-2"/>
                  <c:y val="-0.135624218458622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583-4543-81A4-8BF71CCEE513}"/>
                </c:ext>
              </c:extLst>
            </c:dLbl>
            <c:dLbl>
              <c:idx val="35"/>
              <c:layout>
                <c:manualLayout>
                  <c:x val="-2.152942944876763E-2"/>
                  <c:y val="-0.118849955694732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583-4543-81A4-8BF71CCEE513}"/>
                </c:ext>
              </c:extLst>
            </c:dLbl>
            <c:dLbl>
              <c:idx val="36"/>
              <c:layout>
                <c:manualLayout>
                  <c:x val="-2.0095274058596804E-2"/>
                  <c:y val="-0.125276876293923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583-4543-81A4-8BF71CCEE5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'LCS Quality Status Table'!$C$28:$BC$28</c:f>
              <c:strCache>
                <c:ptCount val="17"/>
                <c:pt idx="0">
                  <c:v>WK01</c:v>
                </c:pt>
                <c:pt idx="1">
                  <c:v>WK02</c:v>
                </c:pt>
                <c:pt idx="2">
                  <c:v>WK03</c:v>
                </c:pt>
                <c:pt idx="3">
                  <c:v>WK04</c:v>
                </c:pt>
                <c:pt idx="4">
                  <c:v>WK05</c:v>
                </c:pt>
                <c:pt idx="5">
                  <c:v>WK06</c:v>
                </c:pt>
                <c:pt idx="6">
                  <c:v>WK07</c:v>
                </c:pt>
                <c:pt idx="7">
                  <c:v>WK08</c:v>
                </c:pt>
                <c:pt idx="8">
                  <c:v>WK09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  <c:pt idx="12">
                  <c:v>WK13</c:v>
                </c:pt>
                <c:pt idx="13">
                  <c:v>WK14</c:v>
                </c:pt>
                <c:pt idx="14">
                  <c:v>WK15</c:v>
                </c:pt>
                <c:pt idx="15">
                  <c:v>WK16</c:v>
                </c:pt>
                <c:pt idx="16">
                  <c:v>WK17</c:v>
                </c:pt>
              </c:strCache>
            </c:strRef>
          </c:cat>
          <c:val>
            <c:numRef>
              <c:f>'LCS Quality Status Table'!$C$31:$BC$31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0.21052631578947367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0.19607843137254902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583-4543-81A4-8BF71CCEE51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5310336"/>
        <c:axId val="175312256"/>
      </c:lineChart>
      <c:catAx>
        <c:axId val="17531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75312256"/>
        <c:crosses val="autoZero"/>
        <c:auto val="1"/>
        <c:lblAlgn val="ctr"/>
        <c:lblOffset val="100"/>
        <c:noMultiLvlLbl val="0"/>
      </c:catAx>
      <c:valAx>
        <c:axId val="175312256"/>
        <c:scaling>
          <c:orientation val="minMax"/>
          <c:max val="1"/>
          <c:min val="0"/>
        </c:scaling>
        <c:delete val="0"/>
        <c:axPos val="l"/>
        <c:numFmt formatCode="0.00%" sourceLinked="1"/>
        <c:majorTickMark val="out"/>
        <c:minorTickMark val="none"/>
        <c:tickLblPos val="nextTo"/>
        <c:spPr>
          <a:ln>
            <a:solidFill>
              <a:sysClr val="windowText" lastClr="000000">
                <a:tint val="75000"/>
                <a:shade val="95000"/>
                <a:satMod val="105000"/>
              </a:sys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175310336"/>
        <c:crosses val="autoZero"/>
        <c:crossBetween val="between"/>
        <c:majorUnit val="0.1"/>
      </c:valAx>
      <c:valAx>
        <c:axId val="244194095"/>
        <c:scaling>
          <c:orientation val="minMax"/>
          <c:max val="30"/>
        </c:scaling>
        <c:delete val="0"/>
        <c:axPos val="r"/>
        <c:numFmt formatCode="0_);[Red]\(0\)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50266271"/>
        <c:crosses val="max"/>
        <c:crossBetween val="between"/>
        <c:majorUnit val="2"/>
      </c:valAx>
      <c:catAx>
        <c:axId val="150266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4194095"/>
        <c:crosses val="autoZero"/>
        <c:auto val="1"/>
        <c:lblAlgn val="ctr"/>
        <c:lblOffset val="100"/>
        <c:noMultiLvlLbl val="0"/>
      </c:catAx>
      <c:spPr>
        <a:pattFill prst="pct10">
          <a:fgClr>
            <a:schemeClr val="bg1">
              <a:lumMod val="85000"/>
            </a:schemeClr>
          </a:fgClr>
          <a:bgClr>
            <a:schemeClr val="bg1"/>
          </a:bgClr>
        </a:pattFill>
        <a:ln>
          <a:noFill/>
        </a:ln>
      </c:spPr>
    </c:plotArea>
    <c:legend>
      <c:legendPos val="t"/>
      <c:layout>
        <c:manualLayout>
          <c:xMode val="edge"/>
          <c:yMode val="edge"/>
          <c:x val="0.41292915467522939"/>
          <c:y val="4.7409566523374299E-3"/>
          <c:w val="0.23182254234083263"/>
          <c:h val="0.12313860190584859"/>
        </c:manualLayout>
      </c:layout>
      <c:overlay val="0"/>
    </c:legend>
    <c:plotVisOnly val="1"/>
    <c:dispBlanksAs val="gap"/>
    <c:showDLblsOverMax val="0"/>
  </c:chart>
  <c:spPr>
    <a:pattFill prst="pct5">
      <a:fgClr>
        <a:schemeClr val="bg1">
          <a:lumMod val="85000"/>
        </a:schemeClr>
      </a:fgClr>
      <a:bgClr>
        <a:schemeClr val="bg1"/>
      </a:bgClr>
    </a:pattFill>
    <a:ln w="12700">
      <a:solidFill>
        <a:schemeClr val="tx1">
          <a:lumMod val="75000"/>
          <a:lumOff val="25000"/>
        </a:schemeClr>
      </a:solidFill>
    </a:ln>
  </c:spPr>
  <c:printSettings>
    <c:headerFooter/>
    <c:pageMargins b="0.75000000000000699" l="0.70000000000000062" r="0.70000000000000062" t="0.7500000000000069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</xdr:row>
      <xdr:rowOff>70484</xdr:rowOff>
    </xdr:from>
    <xdr:to>
      <xdr:col>18</xdr:col>
      <xdr:colOff>594360</xdr:colOff>
      <xdr:row>12</xdr:row>
      <xdr:rowOff>83820</xdr:rowOff>
    </xdr:to>
    <xdr:graphicFrame macro="">
      <xdr:nvGraphicFramePr>
        <xdr:cNvPr id="5" name="圖表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</xdr:colOff>
      <xdr:row>15</xdr:row>
      <xdr:rowOff>87629</xdr:rowOff>
    </xdr:from>
    <xdr:to>
      <xdr:col>18</xdr:col>
      <xdr:colOff>601980</xdr:colOff>
      <xdr:row>25</xdr:row>
      <xdr:rowOff>134696</xdr:rowOff>
    </xdr:to>
    <xdr:graphicFrame macro="">
      <xdr:nvGraphicFramePr>
        <xdr:cNvPr id="6" name="圖表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86398</xdr:colOff>
      <xdr:row>80</xdr:row>
      <xdr:rowOff>62961</xdr:rowOff>
    </xdr:from>
    <xdr:to>
      <xdr:col>18</xdr:col>
      <xdr:colOff>646468</xdr:colOff>
      <xdr:row>89</xdr:row>
      <xdr:rowOff>42006</xdr:rowOff>
    </xdr:to>
    <xdr:graphicFrame macro="">
      <xdr:nvGraphicFramePr>
        <xdr:cNvPr id="8" name="圖表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67348</xdr:colOff>
      <xdr:row>68</xdr:row>
      <xdr:rowOff>0</xdr:rowOff>
    </xdr:from>
    <xdr:to>
      <xdr:col>18</xdr:col>
      <xdr:colOff>617258</xdr:colOff>
      <xdr:row>77</xdr:row>
      <xdr:rowOff>95249</xdr:rowOff>
    </xdr:to>
    <xdr:graphicFrame macro="">
      <xdr:nvGraphicFramePr>
        <xdr:cNvPr id="9" name="圖表 1">
          <a:extLst>
            <a:ext uri="{FF2B5EF4-FFF2-40B4-BE49-F238E27FC236}">
              <a16:creationId xmlns:a16="http://schemas.microsoft.com/office/drawing/2014/main" id="{8C415901-D926-4EDD-8744-0B41C7CD2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28</xdr:row>
      <xdr:rowOff>70484</xdr:rowOff>
    </xdr:from>
    <xdr:to>
      <xdr:col>18</xdr:col>
      <xdr:colOff>594360</xdr:colOff>
      <xdr:row>37</xdr:row>
      <xdr:rowOff>83820</xdr:rowOff>
    </xdr:to>
    <xdr:graphicFrame macro="">
      <xdr:nvGraphicFramePr>
        <xdr:cNvPr id="7" name="圖表 1">
          <a:extLst>
            <a:ext uri="{FF2B5EF4-FFF2-40B4-BE49-F238E27FC236}">
              <a16:creationId xmlns:a16="http://schemas.microsoft.com/office/drawing/2014/main" id="{ECF554E9-22F4-4639-99DF-2364CAC09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45720</xdr:colOff>
      <xdr:row>40</xdr:row>
      <xdr:rowOff>87630</xdr:rowOff>
    </xdr:from>
    <xdr:to>
      <xdr:col>18</xdr:col>
      <xdr:colOff>601980</xdr:colOff>
      <xdr:row>50</xdr:row>
      <xdr:rowOff>125076</xdr:rowOff>
    </xdr:to>
    <xdr:graphicFrame macro="">
      <xdr:nvGraphicFramePr>
        <xdr:cNvPr id="10" name="圖表 1">
          <a:extLst>
            <a:ext uri="{FF2B5EF4-FFF2-40B4-BE49-F238E27FC236}">
              <a16:creationId xmlns:a16="http://schemas.microsoft.com/office/drawing/2014/main" id="{916A31DA-9C99-4D0D-B4DB-B4768DCB6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53</xdr:row>
      <xdr:rowOff>70484</xdr:rowOff>
    </xdr:from>
    <xdr:to>
      <xdr:col>19</xdr:col>
      <xdr:colOff>0</xdr:colOff>
      <xdr:row>63</xdr:row>
      <xdr:rowOff>144318</xdr:rowOff>
    </xdr:to>
    <xdr:graphicFrame macro="">
      <xdr:nvGraphicFramePr>
        <xdr:cNvPr id="11" name="圖表 1">
          <a:extLst>
            <a:ext uri="{FF2B5EF4-FFF2-40B4-BE49-F238E27FC236}">
              <a16:creationId xmlns:a16="http://schemas.microsoft.com/office/drawing/2014/main" id="{989B2C7C-A2D9-4F94-A6A5-D63ED7C4A7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301624</xdr:colOff>
      <xdr:row>122</xdr:row>
      <xdr:rowOff>285750</xdr:rowOff>
    </xdr:from>
    <xdr:to>
      <xdr:col>10</xdr:col>
      <xdr:colOff>1736327</xdr:colOff>
      <xdr:row>122</xdr:row>
      <xdr:rowOff>2198687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87E7A9-9BA8-6A02-540E-268CB8BB6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95874" y="44164250"/>
          <a:ext cx="1434703" cy="1912937"/>
        </a:xfrm>
        <a:prstGeom prst="rect">
          <a:avLst/>
        </a:prstGeom>
      </xdr:spPr>
    </xdr:pic>
    <xdr:clientData/>
  </xdr:twoCellAnchor>
  <xdr:twoCellAnchor editAs="oneCell">
    <xdr:from>
      <xdr:col>10</xdr:col>
      <xdr:colOff>2095499</xdr:colOff>
      <xdr:row>122</xdr:row>
      <xdr:rowOff>250406</xdr:rowOff>
    </xdr:from>
    <xdr:to>
      <xdr:col>10</xdr:col>
      <xdr:colOff>4032250</xdr:colOff>
      <xdr:row>122</xdr:row>
      <xdr:rowOff>2245304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BE4201-5015-BD6F-D772-51F01B54E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89749" y="44128906"/>
          <a:ext cx="1936751" cy="1994898"/>
        </a:xfrm>
        <a:prstGeom prst="rect">
          <a:avLst/>
        </a:prstGeom>
      </xdr:spPr>
    </xdr:pic>
    <xdr:clientData/>
  </xdr:twoCellAnchor>
  <xdr:oneCellAnchor>
    <xdr:from>
      <xdr:col>10</xdr:col>
      <xdr:colOff>301624</xdr:colOff>
      <xdr:row>124</xdr:row>
      <xdr:rowOff>285750</xdr:rowOff>
    </xdr:from>
    <xdr:ext cx="1434703" cy="1912937"/>
    <xdr:pic>
      <xdr:nvPicPr>
        <xdr:cNvPr id="4" name="Picture 3">
          <a:extLst>
            <a:ext uri="{FF2B5EF4-FFF2-40B4-BE49-F238E27FC236}">
              <a16:creationId xmlns:a16="http://schemas.microsoft.com/office/drawing/2014/main" id="{9F3E62D5-42AC-45FA-B22D-9532ACF04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95874" y="44164250"/>
          <a:ext cx="1434703" cy="1912937"/>
        </a:xfrm>
        <a:prstGeom prst="rect">
          <a:avLst/>
        </a:prstGeom>
      </xdr:spPr>
    </xdr:pic>
    <xdr:clientData/>
  </xdr:oneCellAnchor>
  <xdr:oneCellAnchor>
    <xdr:from>
      <xdr:col>10</xdr:col>
      <xdr:colOff>2095499</xdr:colOff>
      <xdr:row>124</xdr:row>
      <xdr:rowOff>250406</xdr:rowOff>
    </xdr:from>
    <xdr:ext cx="1936751" cy="1994898"/>
    <xdr:pic>
      <xdr:nvPicPr>
        <xdr:cNvPr id="5" name="Picture 4">
          <a:extLst>
            <a:ext uri="{FF2B5EF4-FFF2-40B4-BE49-F238E27FC236}">
              <a16:creationId xmlns:a16="http://schemas.microsoft.com/office/drawing/2014/main" id="{4F4EF777-1019-4A7B-A965-E4CB877FE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89749" y="44128906"/>
          <a:ext cx="1936751" cy="1994898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nessa De Guzman (SR)" id="{6B2E6AD1-3566-4353-A91D-7EDD6B115FC7}" userId="S::vanessag@supermicro.com::3a61efca-8c3e-47e1-93cb-363f920ae26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4-10-14T23:05:01.02" personId="{6B2E6AD1-3566-4353-A91D-7EDD6B115FC7}" id="{ECD6C056-9992-4162-9B9F-F6CA47179065}">
    <text>Failure was in WK40 but was added to WK41 since no racks completed Production in WK40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04EC-2F2E-478E-9907-8F0E10B2DC0A}">
  <sheetPr codeName="Sheet1"/>
  <dimension ref="A1:S80"/>
  <sheetViews>
    <sheetView showGridLines="0" zoomScaleNormal="100" workbookViewId="0">
      <selection sqref="A1:S1"/>
    </sheetView>
  </sheetViews>
  <sheetFormatPr defaultColWidth="8.77734375" defaultRowHeight="16.2"/>
  <cols>
    <col min="1" max="16384" width="8.77734375" style="1"/>
  </cols>
  <sheetData>
    <row r="1" spans="1:19" ht="35.1" customHeight="1">
      <c r="A1" s="91" t="s">
        <v>41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</row>
    <row r="3" spans="1:19" ht="24.6">
      <c r="A3" s="92" t="s">
        <v>36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</row>
    <row r="15" spans="1:19" ht="24.6">
      <c r="A15" s="93" t="s">
        <v>37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</row>
    <row r="27" spans="1:19" ht="15.75" customHeight="1"/>
    <row r="28" spans="1:19" ht="24.6">
      <c r="A28" s="92" t="s">
        <v>34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</row>
    <row r="29" spans="1:19" ht="20.25" customHeight="1"/>
    <row r="30" spans="1:19" ht="20.25" customHeight="1"/>
    <row r="31" spans="1:19" ht="20.25" customHeight="1"/>
    <row r="32" spans="1:19" ht="20.25" customHeight="1"/>
    <row r="33" spans="1:19" ht="20.25" customHeight="1"/>
    <row r="34" spans="1:19" ht="20.25" customHeight="1"/>
    <row r="35" spans="1:19" ht="20.25" customHeight="1"/>
    <row r="36" spans="1:19" ht="20.25" customHeight="1"/>
    <row r="37" spans="1:19" ht="20.25" customHeight="1"/>
    <row r="38" spans="1:19" ht="20.25" customHeight="1"/>
    <row r="40" spans="1:19" ht="24.6">
      <c r="A40" s="90" t="s">
        <v>35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</row>
    <row r="53" spans="1:19" ht="24.6">
      <c r="A53" s="92" t="s">
        <v>39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</row>
    <row r="54" spans="1:19" ht="20.25" customHeight="1"/>
    <row r="55" spans="1:19" ht="20.25" customHeight="1"/>
    <row r="56" spans="1:19" ht="20.25" customHeight="1"/>
    <row r="57" spans="1:19" ht="20.25" customHeight="1"/>
    <row r="58" spans="1:19" ht="20.25" customHeight="1"/>
    <row r="59" spans="1:19" ht="20.25" customHeight="1"/>
    <row r="60" spans="1:19" ht="20.25" customHeight="1"/>
    <row r="61" spans="1:19" ht="20.25" customHeight="1"/>
    <row r="62" spans="1:19" ht="20.25" customHeight="1"/>
    <row r="63" spans="1:19" ht="20.25" customHeight="1"/>
    <row r="67" spans="1:19" ht="24.6">
      <c r="A67" s="90" t="s">
        <v>40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</row>
    <row r="80" spans="1:19" ht="24.6">
      <c r="A80" s="94" t="s">
        <v>38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</row>
  </sheetData>
  <mergeCells count="8">
    <mergeCell ref="A67:S67"/>
    <mergeCell ref="A1:S1"/>
    <mergeCell ref="A3:S3"/>
    <mergeCell ref="A15:S15"/>
    <mergeCell ref="A80:S80"/>
    <mergeCell ref="A53:S53"/>
    <mergeCell ref="A28:S28"/>
    <mergeCell ref="A40:S40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C7B2-A542-4377-83BA-A6E8BF89DCD1}">
  <sheetPr codeName="Sheet2"/>
  <dimension ref="A1:BC43"/>
  <sheetViews>
    <sheetView showGridLines="0" zoomScaleNormal="100" workbookViewId="0">
      <pane xSplit="2" topLeftCell="C1" activePane="topRight" state="frozen"/>
      <selection pane="topRight" activeCell="B5" sqref="B5"/>
    </sheetView>
  </sheetViews>
  <sheetFormatPr defaultColWidth="8.77734375" defaultRowHeight="16.2"/>
  <cols>
    <col min="1" max="1" width="11.109375" style="1" customWidth="1"/>
    <col min="2" max="2" width="31.21875" style="1" customWidth="1"/>
    <col min="3" max="3" width="10.6640625" style="1" customWidth="1"/>
    <col min="4" max="19" width="11.5546875" style="1" customWidth="1"/>
    <col min="20" max="46" width="11.5546875" style="1" hidden="1" customWidth="1"/>
    <col min="47" max="55" width="8.33203125" style="1" hidden="1" customWidth="1"/>
    <col min="56" max="16384" width="8.77734375" style="1"/>
  </cols>
  <sheetData>
    <row r="1" spans="1:55" ht="30.6">
      <c r="A1" s="74" t="s">
        <v>42</v>
      </c>
      <c r="B1" s="7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3" spans="1:55" ht="26.4">
      <c r="A3" s="3" t="s">
        <v>36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ht="17.399999999999999">
      <c r="A4" s="96" t="s">
        <v>0</v>
      </c>
      <c r="B4" s="96"/>
      <c r="C4" s="4" t="s">
        <v>129</v>
      </c>
      <c r="D4" s="4" t="s">
        <v>130</v>
      </c>
      <c r="E4" s="4" t="s">
        <v>131</v>
      </c>
      <c r="F4" s="4" t="s">
        <v>132</v>
      </c>
      <c r="G4" s="4" t="s">
        <v>133</v>
      </c>
      <c r="H4" s="4" t="s">
        <v>134</v>
      </c>
      <c r="I4" s="4" t="s">
        <v>135</v>
      </c>
      <c r="J4" s="4" t="s">
        <v>136</v>
      </c>
      <c r="K4" s="4" t="s">
        <v>137</v>
      </c>
      <c r="L4" s="4" t="s">
        <v>138</v>
      </c>
      <c r="M4" s="4" t="s">
        <v>139</v>
      </c>
      <c r="N4" s="4" t="s">
        <v>140</v>
      </c>
      <c r="O4" s="4" t="s">
        <v>141</v>
      </c>
      <c r="P4" s="4" t="s">
        <v>142</v>
      </c>
      <c r="Q4" s="4" t="s">
        <v>143</v>
      </c>
      <c r="R4" s="4" t="s">
        <v>144</v>
      </c>
      <c r="S4" s="4" t="s">
        <v>145</v>
      </c>
      <c r="T4" s="4" t="s">
        <v>146</v>
      </c>
      <c r="U4" s="4" t="s">
        <v>147</v>
      </c>
      <c r="V4" s="4" t="s">
        <v>148</v>
      </c>
      <c r="W4" s="4" t="s">
        <v>149</v>
      </c>
      <c r="X4" s="4" t="s">
        <v>150</v>
      </c>
      <c r="Y4" s="4" t="s">
        <v>151</v>
      </c>
      <c r="Z4" s="4" t="s">
        <v>152</v>
      </c>
      <c r="AA4" s="4" t="s">
        <v>153</v>
      </c>
      <c r="AB4" s="4" t="s">
        <v>154</v>
      </c>
      <c r="AC4" s="4" t="s">
        <v>155</v>
      </c>
      <c r="AD4" s="4" t="s">
        <v>156</v>
      </c>
      <c r="AE4" s="4" t="s">
        <v>157</v>
      </c>
      <c r="AF4" s="4" t="s">
        <v>158</v>
      </c>
      <c r="AG4" s="4" t="s">
        <v>159</v>
      </c>
      <c r="AH4" s="4" t="s">
        <v>160</v>
      </c>
      <c r="AI4" s="4" t="s">
        <v>161</v>
      </c>
      <c r="AJ4" s="4" t="s">
        <v>162</v>
      </c>
      <c r="AK4" s="4" t="s">
        <v>163</v>
      </c>
      <c r="AL4" s="4" t="s">
        <v>164</v>
      </c>
      <c r="AM4" s="4" t="s">
        <v>165</v>
      </c>
      <c r="AN4" s="4" t="s">
        <v>166</v>
      </c>
      <c r="AO4" s="4" t="s">
        <v>167</v>
      </c>
      <c r="AP4" s="4" t="s">
        <v>168</v>
      </c>
      <c r="AQ4" s="4" t="s">
        <v>2</v>
      </c>
      <c r="AR4" s="4" t="s">
        <v>3</v>
      </c>
      <c r="AS4" s="4" t="s">
        <v>4</v>
      </c>
      <c r="AT4" s="4" t="s">
        <v>5</v>
      </c>
      <c r="AU4" s="4" t="s">
        <v>6</v>
      </c>
      <c r="AV4" s="4" t="s">
        <v>7</v>
      </c>
      <c r="AW4" s="4" t="s">
        <v>8</v>
      </c>
      <c r="AX4" s="4" t="s">
        <v>9</v>
      </c>
      <c r="AY4" s="4" t="s">
        <v>10</v>
      </c>
      <c r="AZ4" s="4" t="s">
        <v>11</v>
      </c>
      <c r="BA4" s="4" t="s">
        <v>12</v>
      </c>
      <c r="BB4" s="4" t="s">
        <v>13</v>
      </c>
      <c r="BC4" s="4" t="s">
        <v>347</v>
      </c>
    </row>
    <row r="5" spans="1:55" ht="17.399999999999999">
      <c r="A5" s="97" t="s">
        <v>17</v>
      </c>
      <c r="B5" s="5" t="s">
        <v>30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</row>
    <row r="6" spans="1:55" ht="17.399999999999999">
      <c r="A6" s="98"/>
      <c r="B6" s="5" t="s">
        <v>31</v>
      </c>
      <c r="C6" s="6">
        <v>10</v>
      </c>
      <c r="D6" s="6">
        <v>32</v>
      </c>
      <c r="E6" s="6">
        <v>10</v>
      </c>
      <c r="F6" s="6">
        <v>0</v>
      </c>
      <c r="G6" s="6">
        <v>0</v>
      </c>
      <c r="H6" s="6">
        <v>0</v>
      </c>
      <c r="I6" s="6">
        <v>60</v>
      </c>
      <c r="J6" s="6">
        <v>0</v>
      </c>
      <c r="K6" s="6">
        <v>0</v>
      </c>
      <c r="L6" s="6">
        <v>20</v>
      </c>
      <c r="M6" s="6">
        <v>156</v>
      </c>
      <c r="N6" s="6">
        <v>8</v>
      </c>
      <c r="O6" s="6">
        <v>40</v>
      </c>
      <c r="P6" s="6">
        <v>8</v>
      </c>
      <c r="Q6" s="6">
        <v>16</v>
      </c>
      <c r="R6" s="6">
        <v>8</v>
      </c>
      <c r="S6" s="6">
        <v>50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</row>
    <row r="7" spans="1:55" ht="17.399999999999999">
      <c r="A7" s="99"/>
      <c r="B7" s="5" t="s">
        <v>32</v>
      </c>
      <c r="C7" s="14">
        <f t="shared" ref="C7:BC7" si="0">(C5/C6)</f>
        <v>0</v>
      </c>
      <c r="D7" s="14">
        <f t="shared" si="0"/>
        <v>0</v>
      </c>
      <c r="E7" s="14">
        <f t="shared" si="0"/>
        <v>0</v>
      </c>
      <c r="F7" s="14">
        <v>0</v>
      </c>
      <c r="G7" s="14">
        <v>0</v>
      </c>
      <c r="H7" s="14">
        <v>0</v>
      </c>
      <c r="I7" s="14">
        <f t="shared" si="0"/>
        <v>0</v>
      </c>
      <c r="J7" s="14">
        <v>0</v>
      </c>
      <c r="K7" s="14">
        <v>0</v>
      </c>
      <c r="L7" s="14">
        <f t="shared" si="0"/>
        <v>0</v>
      </c>
      <c r="M7" s="14">
        <f t="shared" si="0"/>
        <v>0</v>
      </c>
      <c r="N7" s="14">
        <f t="shared" si="0"/>
        <v>0</v>
      </c>
      <c r="O7" s="14">
        <f t="shared" si="0"/>
        <v>0</v>
      </c>
      <c r="P7" s="14">
        <f t="shared" si="0"/>
        <v>0</v>
      </c>
      <c r="Q7" s="14">
        <f t="shared" si="0"/>
        <v>0</v>
      </c>
      <c r="R7" s="14">
        <f t="shared" si="0"/>
        <v>0</v>
      </c>
      <c r="S7" s="14">
        <f t="shared" si="0"/>
        <v>0</v>
      </c>
      <c r="T7" s="14" t="e">
        <f t="shared" si="0"/>
        <v>#DIV/0!</v>
      </c>
      <c r="U7" s="14" t="e">
        <f t="shared" si="0"/>
        <v>#DIV/0!</v>
      </c>
      <c r="V7" s="14" t="e">
        <f t="shared" si="0"/>
        <v>#DIV/0!</v>
      </c>
      <c r="W7" s="14" t="e">
        <f t="shared" si="0"/>
        <v>#DIV/0!</v>
      </c>
      <c r="X7" s="14" t="e">
        <f t="shared" si="0"/>
        <v>#DIV/0!</v>
      </c>
      <c r="Y7" s="14" t="e">
        <f t="shared" si="0"/>
        <v>#DIV/0!</v>
      </c>
      <c r="Z7" s="14" t="e">
        <f t="shared" si="0"/>
        <v>#DIV/0!</v>
      </c>
      <c r="AA7" s="14" t="e">
        <f t="shared" si="0"/>
        <v>#DIV/0!</v>
      </c>
      <c r="AB7" s="14" t="e">
        <f t="shared" si="0"/>
        <v>#DIV/0!</v>
      </c>
      <c r="AC7" s="14" t="e">
        <f t="shared" si="0"/>
        <v>#DIV/0!</v>
      </c>
      <c r="AD7" s="14" t="e">
        <f t="shared" si="0"/>
        <v>#DIV/0!</v>
      </c>
      <c r="AE7" s="14" t="e">
        <f t="shared" si="0"/>
        <v>#DIV/0!</v>
      </c>
      <c r="AF7" s="14" t="e">
        <f t="shared" si="0"/>
        <v>#DIV/0!</v>
      </c>
      <c r="AG7" s="14" t="e">
        <f t="shared" si="0"/>
        <v>#DIV/0!</v>
      </c>
      <c r="AH7" s="14" t="e">
        <f t="shared" si="0"/>
        <v>#DIV/0!</v>
      </c>
      <c r="AI7" s="14" t="e">
        <f t="shared" si="0"/>
        <v>#DIV/0!</v>
      </c>
      <c r="AJ7" s="14" t="e">
        <f t="shared" si="0"/>
        <v>#DIV/0!</v>
      </c>
      <c r="AK7" s="14" t="e">
        <f t="shared" si="0"/>
        <v>#DIV/0!</v>
      </c>
      <c r="AL7" s="14" t="e">
        <f t="shared" si="0"/>
        <v>#DIV/0!</v>
      </c>
      <c r="AM7" s="14" t="e">
        <f t="shared" si="0"/>
        <v>#DIV/0!</v>
      </c>
      <c r="AN7" s="14" t="e">
        <f t="shared" si="0"/>
        <v>#DIV/0!</v>
      </c>
      <c r="AO7" s="14" t="e">
        <f t="shared" si="0"/>
        <v>#DIV/0!</v>
      </c>
      <c r="AP7" s="14" t="e">
        <f t="shared" si="0"/>
        <v>#DIV/0!</v>
      </c>
      <c r="AQ7" s="14" t="e">
        <f t="shared" si="0"/>
        <v>#DIV/0!</v>
      </c>
      <c r="AR7" s="14" t="e">
        <f t="shared" si="0"/>
        <v>#DIV/0!</v>
      </c>
      <c r="AS7" s="14" t="e">
        <f t="shared" si="0"/>
        <v>#DIV/0!</v>
      </c>
      <c r="AT7" s="14" t="e">
        <f t="shared" si="0"/>
        <v>#DIV/0!</v>
      </c>
      <c r="AU7" s="14" t="e">
        <f t="shared" si="0"/>
        <v>#DIV/0!</v>
      </c>
      <c r="AV7" s="14" t="e">
        <f t="shared" si="0"/>
        <v>#DIV/0!</v>
      </c>
      <c r="AW7" s="14" t="e">
        <f t="shared" si="0"/>
        <v>#DIV/0!</v>
      </c>
      <c r="AX7" s="14" t="e">
        <f t="shared" si="0"/>
        <v>#DIV/0!</v>
      </c>
      <c r="AY7" s="14" t="e">
        <f t="shared" si="0"/>
        <v>#DIV/0!</v>
      </c>
      <c r="AZ7" s="14" t="e">
        <f t="shared" si="0"/>
        <v>#DIV/0!</v>
      </c>
      <c r="BA7" s="14" t="e">
        <f t="shared" si="0"/>
        <v>#DIV/0!</v>
      </c>
      <c r="BB7" s="14" t="e">
        <f t="shared" si="0"/>
        <v>#DIV/0!</v>
      </c>
      <c r="BC7" s="14" t="e">
        <f t="shared" si="0"/>
        <v>#DIV/0!</v>
      </c>
    </row>
    <row r="9" spans="1:55" ht="26.4">
      <c r="A9" s="7" t="s">
        <v>37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</row>
    <row r="10" spans="1:55" ht="17.399999999999999">
      <c r="A10" s="100" t="s">
        <v>1</v>
      </c>
      <c r="B10" s="101"/>
      <c r="C10" s="4" t="s">
        <v>129</v>
      </c>
      <c r="D10" s="4" t="s">
        <v>130</v>
      </c>
      <c r="E10" s="4" t="s">
        <v>131</v>
      </c>
      <c r="F10" s="4" t="s">
        <v>132</v>
      </c>
      <c r="G10" s="4" t="s">
        <v>133</v>
      </c>
      <c r="H10" s="4" t="s">
        <v>134</v>
      </c>
      <c r="I10" s="4" t="s">
        <v>135</v>
      </c>
      <c r="J10" s="4" t="s">
        <v>136</v>
      </c>
      <c r="K10" s="4" t="s">
        <v>137</v>
      </c>
      <c r="L10" s="4" t="s">
        <v>138</v>
      </c>
      <c r="M10" s="4" t="s">
        <v>139</v>
      </c>
      <c r="N10" s="4" t="s">
        <v>140</v>
      </c>
      <c r="O10" s="4" t="s">
        <v>141</v>
      </c>
      <c r="P10" s="4" t="s">
        <v>142</v>
      </c>
      <c r="Q10" s="4" t="s">
        <v>143</v>
      </c>
      <c r="R10" s="4" t="s">
        <v>144</v>
      </c>
      <c r="S10" s="4" t="s">
        <v>145</v>
      </c>
      <c r="T10" s="4" t="s">
        <v>146</v>
      </c>
      <c r="U10" s="4" t="s">
        <v>147</v>
      </c>
      <c r="V10" s="4" t="s">
        <v>148</v>
      </c>
      <c r="W10" s="4" t="s">
        <v>149</v>
      </c>
      <c r="X10" s="4" t="s">
        <v>150</v>
      </c>
      <c r="Y10" s="4" t="s">
        <v>151</v>
      </c>
      <c r="Z10" s="4" t="s">
        <v>152</v>
      </c>
      <c r="AA10" s="4" t="s">
        <v>153</v>
      </c>
      <c r="AB10" s="4" t="s">
        <v>154</v>
      </c>
      <c r="AC10" s="4" t="s">
        <v>155</v>
      </c>
      <c r="AD10" s="4" t="s">
        <v>156</v>
      </c>
      <c r="AE10" s="4" t="s">
        <v>157</v>
      </c>
      <c r="AF10" s="4" t="s">
        <v>158</v>
      </c>
      <c r="AG10" s="4" t="s">
        <v>159</v>
      </c>
      <c r="AH10" s="4" t="s">
        <v>160</v>
      </c>
      <c r="AI10" s="4" t="s">
        <v>161</v>
      </c>
      <c r="AJ10" s="4" t="s">
        <v>162</v>
      </c>
      <c r="AK10" s="4" t="s">
        <v>163</v>
      </c>
      <c r="AL10" s="4" t="s">
        <v>164</v>
      </c>
      <c r="AM10" s="4" t="s">
        <v>165</v>
      </c>
      <c r="AN10" s="4" t="s">
        <v>166</v>
      </c>
      <c r="AO10" s="4" t="s">
        <v>167</v>
      </c>
      <c r="AP10" s="4" t="s">
        <v>168</v>
      </c>
      <c r="AQ10" s="4" t="s">
        <v>2</v>
      </c>
      <c r="AR10" s="4" t="s">
        <v>3</v>
      </c>
      <c r="AS10" s="4" t="s">
        <v>4</v>
      </c>
      <c r="AT10" s="4" t="s">
        <v>5</v>
      </c>
      <c r="AU10" s="4" t="s">
        <v>6</v>
      </c>
      <c r="AV10" s="4" t="s">
        <v>7</v>
      </c>
      <c r="AW10" s="4" t="s">
        <v>8</v>
      </c>
      <c r="AX10" s="4" t="s">
        <v>9</v>
      </c>
      <c r="AY10" s="4" t="s">
        <v>10</v>
      </c>
      <c r="AZ10" s="4" t="s">
        <v>11</v>
      </c>
      <c r="BA10" s="4" t="s">
        <v>12</v>
      </c>
      <c r="BB10" s="4" t="s">
        <v>13</v>
      </c>
      <c r="BC10" s="4" t="s">
        <v>347</v>
      </c>
    </row>
    <row r="11" spans="1:55" ht="17.399999999999999">
      <c r="A11" s="102" t="s">
        <v>14</v>
      </c>
      <c r="B11" s="8" t="s">
        <v>30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</row>
    <row r="12" spans="1:55" ht="17.399999999999999">
      <c r="A12" s="103"/>
      <c r="B12" s="8" t="s">
        <v>33</v>
      </c>
      <c r="C12" s="6">
        <v>2</v>
      </c>
      <c r="D12" s="6">
        <v>6</v>
      </c>
      <c r="E12" s="6">
        <v>2</v>
      </c>
      <c r="F12" s="6">
        <v>2</v>
      </c>
      <c r="G12" s="6">
        <v>46</v>
      </c>
      <c r="H12" s="6">
        <v>35</v>
      </c>
      <c r="I12" s="6">
        <v>25</v>
      </c>
      <c r="J12" s="6">
        <v>27</v>
      </c>
      <c r="K12" s="6">
        <v>40</v>
      </c>
      <c r="L12" s="6">
        <v>10</v>
      </c>
      <c r="M12" s="6">
        <v>8</v>
      </c>
      <c r="N12" s="6">
        <v>47</v>
      </c>
      <c r="O12" s="6">
        <v>59</v>
      </c>
      <c r="P12" s="6">
        <v>6</v>
      </c>
      <c r="Q12" s="6">
        <v>1</v>
      </c>
      <c r="R12" s="6">
        <v>1</v>
      </c>
      <c r="S12" s="6">
        <v>25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</row>
    <row r="13" spans="1:55" ht="18" thickBot="1">
      <c r="A13" s="104"/>
      <c r="B13" s="12" t="s">
        <v>32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f>K11/K12</f>
        <v>0</v>
      </c>
      <c r="L13" s="13">
        <v>0</v>
      </c>
      <c r="M13" s="13">
        <v>0</v>
      </c>
      <c r="N13" s="14">
        <f>(N11/N12)</f>
        <v>0</v>
      </c>
      <c r="O13" s="14">
        <f>(O11/O12)</f>
        <v>1.6949152542372881E-2</v>
      </c>
      <c r="P13" s="13">
        <f>P11/P12</f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 t="e">
        <f>Z11/Z12</f>
        <v>#DIV/0!</v>
      </c>
      <c r="AA13" s="13" t="e">
        <f>AA11/AA12</f>
        <v>#DIV/0!</v>
      </c>
      <c r="AB13" s="13" t="e">
        <f>AB11/AB12</f>
        <v>#DIV/0!</v>
      </c>
      <c r="AC13" s="13" t="e">
        <f>AC11/AC12</f>
        <v>#DIV/0!</v>
      </c>
      <c r="AD13" s="13">
        <v>0</v>
      </c>
      <c r="AE13" s="13">
        <v>0</v>
      </c>
      <c r="AF13" s="13">
        <v>0</v>
      </c>
      <c r="AG13" s="13">
        <v>0</v>
      </c>
      <c r="AH13" s="13" t="e">
        <f>AH11/AH12</f>
        <v>#DIV/0!</v>
      </c>
      <c r="AI13" s="13" t="e">
        <f>AI11/AI12</f>
        <v>#DIV/0!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</row>
    <row r="15" spans="1:55" ht="20.100000000000001" customHeight="1">
      <c r="A15" s="3" t="s">
        <v>34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ht="17.399999999999999">
      <c r="A16" s="96" t="s">
        <v>0</v>
      </c>
      <c r="B16" s="96"/>
      <c r="C16" s="4" t="s">
        <v>129</v>
      </c>
      <c r="D16" s="4" t="s">
        <v>130</v>
      </c>
      <c r="E16" s="4" t="s">
        <v>131</v>
      </c>
      <c r="F16" s="4" t="s">
        <v>132</v>
      </c>
      <c r="G16" s="4" t="s">
        <v>133</v>
      </c>
      <c r="H16" s="4" t="s">
        <v>134</v>
      </c>
      <c r="I16" s="4" t="s">
        <v>135</v>
      </c>
      <c r="J16" s="4" t="s">
        <v>136</v>
      </c>
      <c r="K16" s="4" t="s">
        <v>137</v>
      </c>
      <c r="L16" s="4" t="s">
        <v>138</v>
      </c>
      <c r="M16" s="4" t="s">
        <v>139</v>
      </c>
      <c r="N16" s="4" t="s">
        <v>140</v>
      </c>
      <c r="O16" s="4" t="s">
        <v>141</v>
      </c>
      <c r="P16" s="4" t="s">
        <v>142</v>
      </c>
      <c r="Q16" s="4" t="s">
        <v>143</v>
      </c>
      <c r="R16" s="4" t="s">
        <v>144</v>
      </c>
      <c r="S16" s="4" t="s">
        <v>145</v>
      </c>
      <c r="T16" s="4" t="s">
        <v>146</v>
      </c>
      <c r="U16" s="4" t="s">
        <v>147</v>
      </c>
      <c r="V16" s="4" t="s">
        <v>148</v>
      </c>
      <c r="W16" s="4" t="s">
        <v>149</v>
      </c>
      <c r="X16" s="4" t="s">
        <v>150</v>
      </c>
      <c r="Y16" s="4" t="s">
        <v>151</v>
      </c>
      <c r="Z16" s="4" t="s">
        <v>152</v>
      </c>
      <c r="AA16" s="4" t="s">
        <v>153</v>
      </c>
      <c r="AB16" s="4" t="s">
        <v>154</v>
      </c>
      <c r="AC16" s="4" t="s">
        <v>155</v>
      </c>
      <c r="AD16" s="4" t="s">
        <v>156</v>
      </c>
      <c r="AE16" s="4" t="s">
        <v>157</v>
      </c>
      <c r="AF16" s="4" t="s">
        <v>158</v>
      </c>
      <c r="AG16" s="4" t="s">
        <v>159</v>
      </c>
      <c r="AH16" s="4" t="s">
        <v>160</v>
      </c>
      <c r="AI16" s="4" t="s">
        <v>161</v>
      </c>
      <c r="AJ16" s="4" t="s">
        <v>162</v>
      </c>
      <c r="AK16" s="4" t="s">
        <v>163</v>
      </c>
      <c r="AL16" s="4" t="s">
        <v>164</v>
      </c>
      <c r="AM16" s="4" t="s">
        <v>165</v>
      </c>
      <c r="AN16" s="4" t="s">
        <v>166</v>
      </c>
      <c r="AO16" s="4" t="s">
        <v>167</v>
      </c>
      <c r="AP16" s="4" t="s">
        <v>168</v>
      </c>
      <c r="AQ16" s="4" t="s">
        <v>2</v>
      </c>
      <c r="AR16" s="4" t="s">
        <v>3</v>
      </c>
      <c r="AS16" s="4" t="s">
        <v>4</v>
      </c>
      <c r="AT16" s="4" t="s">
        <v>5</v>
      </c>
      <c r="AU16" s="4" t="s">
        <v>6</v>
      </c>
      <c r="AV16" s="4" t="s">
        <v>7</v>
      </c>
      <c r="AW16" s="4" t="s">
        <v>8</v>
      </c>
      <c r="AX16" s="4" t="s">
        <v>9</v>
      </c>
      <c r="AY16" s="4" t="s">
        <v>10</v>
      </c>
      <c r="AZ16" s="4" t="s">
        <v>11</v>
      </c>
      <c r="BA16" s="4" t="s">
        <v>12</v>
      </c>
      <c r="BB16" s="4" t="s">
        <v>13</v>
      </c>
      <c r="BC16" s="4" t="s">
        <v>347</v>
      </c>
    </row>
    <row r="17" spans="1:55" ht="16.350000000000001" customHeight="1">
      <c r="A17" s="97" t="s">
        <v>17</v>
      </c>
      <c r="B17" s="5" t="s">
        <v>30</v>
      </c>
      <c r="C17" s="6">
        <v>0</v>
      </c>
      <c r="D17" s="6">
        <v>11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26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</row>
    <row r="18" spans="1:55" ht="17.399999999999999">
      <c r="A18" s="98"/>
      <c r="B18" s="5" t="s">
        <v>31</v>
      </c>
      <c r="C18" s="6">
        <v>613</v>
      </c>
      <c r="D18" s="6">
        <v>851</v>
      </c>
      <c r="E18" s="6">
        <v>185</v>
      </c>
      <c r="F18" s="6">
        <v>122</v>
      </c>
      <c r="G18" s="6">
        <v>132</v>
      </c>
      <c r="H18" s="6">
        <v>74</v>
      </c>
      <c r="I18" s="6">
        <v>2</v>
      </c>
      <c r="J18" s="6">
        <v>129</v>
      </c>
      <c r="K18" s="6">
        <v>0</v>
      </c>
      <c r="L18" s="6">
        <v>0</v>
      </c>
      <c r="M18" s="6">
        <v>4107</v>
      </c>
      <c r="N18" s="6">
        <v>40</v>
      </c>
      <c r="O18" s="6">
        <v>3808</v>
      </c>
      <c r="P18" s="6">
        <v>80</v>
      </c>
      <c r="Q18" s="6">
        <v>52</v>
      </c>
      <c r="R18" s="6">
        <v>170</v>
      </c>
      <c r="S18" s="6">
        <v>36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</row>
    <row r="19" spans="1:55" ht="17.399999999999999">
      <c r="A19" s="99"/>
      <c r="B19" s="5" t="s">
        <v>32</v>
      </c>
      <c r="C19" s="14">
        <f t="shared" ref="C19:BC19" si="1">(C17/C18)</f>
        <v>0</v>
      </c>
      <c r="D19" s="14">
        <f t="shared" si="1"/>
        <v>1.2925969447708578E-2</v>
      </c>
      <c r="E19" s="14">
        <f t="shared" si="1"/>
        <v>0</v>
      </c>
      <c r="F19" s="14">
        <f t="shared" si="1"/>
        <v>0</v>
      </c>
      <c r="G19" s="14">
        <f t="shared" si="1"/>
        <v>0</v>
      </c>
      <c r="H19" s="14">
        <f t="shared" si="1"/>
        <v>0</v>
      </c>
      <c r="I19" s="14">
        <f t="shared" si="1"/>
        <v>0</v>
      </c>
      <c r="J19" s="14">
        <f t="shared" si="1"/>
        <v>0</v>
      </c>
      <c r="K19" s="14">
        <v>0</v>
      </c>
      <c r="L19" s="14">
        <v>0</v>
      </c>
      <c r="M19" s="14">
        <f t="shared" si="1"/>
        <v>6.3306549793036276E-3</v>
      </c>
      <c r="N19" s="14">
        <f>(N17/N18)</f>
        <v>0</v>
      </c>
      <c r="O19" s="14">
        <f t="shared" si="1"/>
        <v>0</v>
      </c>
      <c r="P19" s="14">
        <f t="shared" si="1"/>
        <v>0</v>
      </c>
      <c r="Q19" s="14">
        <f t="shared" si="1"/>
        <v>0</v>
      </c>
      <c r="R19" s="14">
        <f t="shared" si="1"/>
        <v>0</v>
      </c>
      <c r="S19" s="14">
        <f t="shared" si="1"/>
        <v>0</v>
      </c>
      <c r="T19" s="14" t="e">
        <f t="shared" si="1"/>
        <v>#DIV/0!</v>
      </c>
      <c r="U19" s="14" t="e">
        <f t="shared" si="1"/>
        <v>#DIV/0!</v>
      </c>
      <c r="V19" s="14" t="e">
        <f t="shared" si="1"/>
        <v>#DIV/0!</v>
      </c>
      <c r="W19" s="14" t="e">
        <f t="shared" si="1"/>
        <v>#DIV/0!</v>
      </c>
      <c r="X19" s="14" t="e">
        <f t="shared" si="1"/>
        <v>#DIV/0!</v>
      </c>
      <c r="Y19" s="14" t="e">
        <f t="shared" si="1"/>
        <v>#DIV/0!</v>
      </c>
      <c r="Z19" s="14" t="e">
        <f t="shared" si="1"/>
        <v>#DIV/0!</v>
      </c>
      <c r="AA19" s="14" t="e">
        <f t="shared" si="1"/>
        <v>#DIV/0!</v>
      </c>
      <c r="AB19" s="14" t="e">
        <f t="shared" si="1"/>
        <v>#DIV/0!</v>
      </c>
      <c r="AC19" s="14" t="e">
        <f t="shared" si="1"/>
        <v>#DIV/0!</v>
      </c>
      <c r="AD19" s="14" t="e">
        <f t="shared" si="1"/>
        <v>#DIV/0!</v>
      </c>
      <c r="AE19" s="14" t="e">
        <f t="shared" si="1"/>
        <v>#DIV/0!</v>
      </c>
      <c r="AF19" s="14" t="e">
        <f t="shared" si="1"/>
        <v>#DIV/0!</v>
      </c>
      <c r="AG19" s="14" t="e">
        <f t="shared" si="1"/>
        <v>#DIV/0!</v>
      </c>
      <c r="AH19" s="14" t="e">
        <f t="shared" si="1"/>
        <v>#DIV/0!</v>
      </c>
      <c r="AI19" s="14" t="e">
        <f t="shared" si="1"/>
        <v>#DIV/0!</v>
      </c>
      <c r="AJ19" s="14" t="e">
        <f t="shared" si="1"/>
        <v>#DIV/0!</v>
      </c>
      <c r="AK19" s="14" t="e">
        <f t="shared" si="1"/>
        <v>#DIV/0!</v>
      </c>
      <c r="AL19" s="14" t="e">
        <f t="shared" si="1"/>
        <v>#DIV/0!</v>
      </c>
      <c r="AM19" s="14" t="e">
        <f t="shared" si="1"/>
        <v>#DIV/0!</v>
      </c>
      <c r="AN19" s="14" t="e">
        <f t="shared" si="1"/>
        <v>#DIV/0!</v>
      </c>
      <c r="AO19" s="14" t="e">
        <f t="shared" si="1"/>
        <v>#DIV/0!</v>
      </c>
      <c r="AP19" s="14" t="e">
        <f t="shared" si="1"/>
        <v>#DIV/0!</v>
      </c>
      <c r="AQ19" s="14" t="e">
        <f t="shared" si="1"/>
        <v>#DIV/0!</v>
      </c>
      <c r="AR19" s="14" t="e">
        <f t="shared" si="1"/>
        <v>#DIV/0!</v>
      </c>
      <c r="AS19" s="14" t="e">
        <f t="shared" si="1"/>
        <v>#DIV/0!</v>
      </c>
      <c r="AT19" s="14" t="e">
        <f t="shared" si="1"/>
        <v>#DIV/0!</v>
      </c>
      <c r="AU19" s="14" t="e">
        <f t="shared" si="1"/>
        <v>#DIV/0!</v>
      </c>
      <c r="AV19" s="14" t="e">
        <f t="shared" si="1"/>
        <v>#DIV/0!</v>
      </c>
      <c r="AW19" s="14" t="e">
        <f t="shared" si="1"/>
        <v>#DIV/0!</v>
      </c>
      <c r="AX19" s="14" t="e">
        <f t="shared" si="1"/>
        <v>#DIV/0!</v>
      </c>
      <c r="AY19" s="14" t="e">
        <f t="shared" si="1"/>
        <v>#DIV/0!</v>
      </c>
      <c r="AZ19" s="14" t="e">
        <f t="shared" si="1"/>
        <v>#DIV/0!</v>
      </c>
      <c r="BA19" s="14" t="e">
        <f t="shared" si="1"/>
        <v>#DIV/0!</v>
      </c>
      <c r="BB19" s="14" t="e">
        <f t="shared" si="1"/>
        <v>#DIV/0!</v>
      </c>
      <c r="BC19" s="14" t="e">
        <f t="shared" si="1"/>
        <v>#DIV/0!</v>
      </c>
    </row>
    <row r="21" spans="1:55" ht="20.100000000000001" customHeight="1">
      <c r="A21" s="7" t="s">
        <v>35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</row>
    <row r="22" spans="1:55" ht="17.399999999999999">
      <c r="A22" s="100" t="s">
        <v>1</v>
      </c>
      <c r="B22" s="101"/>
      <c r="C22" s="4" t="s">
        <v>129</v>
      </c>
      <c r="D22" s="4" t="s">
        <v>130</v>
      </c>
      <c r="E22" s="4" t="s">
        <v>131</v>
      </c>
      <c r="F22" s="4" t="s">
        <v>132</v>
      </c>
      <c r="G22" s="4" t="s">
        <v>133</v>
      </c>
      <c r="H22" s="4" t="s">
        <v>134</v>
      </c>
      <c r="I22" s="4" t="s">
        <v>135</v>
      </c>
      <c r="J22" s="4" t="s">
        <v>136</v>
      </c>
      <c r="K22" s="4" t="s">
        <v>137</v>
      </c>
      <c r="L22" s="4" t="s">
        <v>138</v>
      </c>
      <c r="M22" s="4" t="s">
        <v>139</v>
      </c>
      <c r="N22" s="4" t="s">
        <v>140</v>
      </c>
      <c r="O22" s="4" t="s">
        <v>141</v>
      </c>
      <c r="P22" s="4" t="s">
        <v>142</v>
      </c>
      <c r="Q22" s="4" t="s">
        <v>143</v>
      </c>
      <c r="R22" s="4" t="s">
        <v>144</v>
      </c>
      <c r="S22" s="4" t="s">
        <v>145</v>
      </c>
      <c r="T22" s="4" t="s">
        <v>146</v>
      </c>
      <c r="U22" s="4" t="s">
        <v>147</v>
      </c>
      <c r="V22" s="4" t="s">
        <v>148</v>
      </c>
      <c r="W22" s="4" t="s">
        <v>149</v>
      </c>
      <c r="X22" s="4" t="s">
        <v>150</v>
      </c>
      <c r="Y22" s="4" t="s">
        <v>151</v>
      </c>
      <c r="Z22" s="4" t="s">
        <v>152</v>
      </c>
      <c r="AA22" s="4" t="s">
        <v>153</v>
      </c>
      <c r="AB22" s="4" t="s">
        <v>154</v>
      </c>
      <c r="AC22" s="4" t="s">
        <v>155</v>
      </c>
      <c r="AD22" s="4" t="s">
        <v>156</v>
      </c>
      <c r="AE22" s="4" t="s">
        <v>157</v>
      </c>
      <c r="AF22" s="4" t="s">
        <v>158</v>
      </c>
      <c r="AG22" s="4" t="s">
        <v>159</v>
      </c>
      <c r="AH22" s="4" t="s">
        <v>160</v>
      </c>
      <c r="AI22" s="4" t="s">
        <v>161</v>
      </c>
      <c r="AJ22" s="4" t="s">
        <v>162</v>
      </c>
      <c r="AK22" s="4" t="s">
        <v>163</v>
      </c>
      <c r="AL22" s="4" t="s">
        <v>164</v>
      </c>
      <c r="AM22" s="4" t="s">
        <v>165</v>
      </c>
      <c r="AN22" s="4" t="s">
        <v>166</v>
      </c>
      <c r="AO22" s="4" t="s">
        <v>167</v>
      </c>
      <c r="AP22" s="4" t="s">
        <v>168</v>
      </c>
      <c r="AQ22" s="4" t="s">
        <v>2</v>
      </c>
      <c r="AR22" s="4" t="s">
        <v>3</v>
      </c>
      <c r="AS22" s="4" t="s">
        <v>4</v>
      </c>
      <c r="AT22" s="4" t="s">
        <v>5</v>
      </c>
      <c r="AU22" s="4" t="s">
        <v>6</v>
      </c>
      <c r="AV22" s="4" t="s">
        <v>7</v>
      </c>
      <c r="AW22" s="4" t="s">
        <v>8</v>
      </c>
      <c r="AX22" s="4" t="s">
        <v>9</v>
      </c>
      <c r="AY22" s="4" t="s">
        <v>10</v>
      </c>
      <c r="AZ22" s="4" t="s">
        <v>11</v>
      </c>
      <c r="BA22" s="4" t="s">
        <v>12</v>
      </c>
      <c r="BB22" s="4" t="s">
        <v>13</v>
      </c>
      <c r="BC22" s="4" t="s">
        <v>347</v>
      </c>
    </row>
    <row r="23" spans="1:55" ht="17.399999999999999">
      <c r="A23" s="102" t="s">
        <v>14</v>
      </c>
      <c r="B23" s="8" t="s">
        <v>30</v>
      </c>
      <c r="C23" s="6">
        <v>0</v>
      </c>
      <c r="D23" s="6">
        <v>1</v>
      </c>
      <c r="E23" s="6">
        <v>0</v>
      </c>
      <c r="F23" s="6">
        <v>0</v>
      </c>
      <c r="G23" s="6">
        <v>4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2</v>
      </c>
      <c r="P23" s="6">
        <v>0</v>
      </c>
      <c r="Q23" s="6">
        <v>0</v>
      </c>
      <c r="R23" s="6">
        <v>11</v>
      </c>
      <c r="S23" s="6">
        <v>14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</row>
    <row r="24" spans="1:55" ht="17.399999999999999">
      <c r="A24" s="103"/>
      <c r="B24" s="8" t="s">
        <v>33</v>
      </c>
      <c r="C24" s="6">
        <v>223</v>
      </c>
      <c r="D24" s="6">
        <v>253</v>
      </c>
      <c r="E24" s="6">
        <v>257</v>
      </c>
      <c r="F24" s="6">
        <v>58</v>
      </c>
      <c r="G24" s="6">
        <v>100</v>
      </c>
      <c r="H24" s="6">
        <v>115</v>
      </c>
      <c r="I24" s="6">
        <v>57</v>
      </c>
      <c r="J24" s="6">
        <v>90</v>
      </c>
      <c r="K24" s="6">
        <v>116</v>
      </c>
      <c r="L24" s="6">
        <v>35</v>
      </c>
      <c r="M24" s="6">
        <v>59</v>
      </c>
      <c r="N24" s="6">
        <v>51</v>
      </c>
      <c r="O24" s="6">
        <v>87</v>
      </c>
      <c r="P24" s="6">
        <v>53</v>
      </c>
      <c r="Q24" s="6">
        <v>140</v>
      </c>
      <c r="R24" s="6">
        <v>81</v>
      </c>
      <c r="S24" s="6">
        <v>69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</row>
    <row r="25" spans="1:55" ht="18" thickBot="1">
      <c r="A25" s="104"/>
      <c r="B25" s="12" t="s">
        <v>32</v>
      </c>
      <c r="C25" s="13">
        <f t="shared" ref="C25" si="2">C23/C24</f>
        <v>0</v>
      </c>
      <c r="D25" s="14">
        <f t="shared" ref="D25:E25" si="3">(D23/D24)</f>
        <v>3.952569169960474E-3</v>
      </c>
      <c r="E25" s="14">
        <f t="shared" si="3"/>
        <v>0</v>
      </c>
      <c r="F25" s="13">
        <v>0</v>
      </c>
      <c r="G25" s="13">
        <v>0</v>
      </c>
      <c r="H25" s="13">
        <v>0</v>
      </c>
      <c r="I25" s="13">
        <f>I23/I24</f>
        <v>0</v>
      </c>
      <c r="J25" s="13">
        <f>J23/J24</f>
        <v>0</v>
      </c>
      <c r="K25" s="13">
        <f>K23/K24</f>
        <v>0</v>
      </c>
      <c r="L25" s="13">
        <v>0</v>
      </c>
      <c r="M25" s="13">
        <v>0</v>
      </c>
      <c r="N25" s="13">
        <v>0</v>
      </c>
      <c r="O25" s="13">
        <f>O23/O24</f>
        <v>2.2988505747126436E-2</v>
      </c>
      <c r="P25" s="13">
        <f>P23/P24</f>
        <v>0</v>
      </c>
      <c r="Q25" s="13">
        <v>0</v>
      </c>
      <c r="R25" s="13">
        <f>R23/R24</f>
        <v>0.13580246913580246</v>
      </c>
      <c r="S25" s="13">
        <f>S23/S24</f>
        <v>0.20289855072463769</v>
      </c>
      <c r="T25" s="13">
        <v>0</v>
      </c>
      <c r="U25" s="13">
        <v>0</v>
      </c>
      <c r="V25" s="13">
        <v>0</v>
      </c>
      <c r="W25" s="13">
        <v>0</v>
      </c>
      <c r="X25" s="13" t="e">
        <f>X23/X24</f>
        <v>#DIV/0!</v>
      </c>
      <c r="Y25" s="13">
        <v>0</v>
      </c>
      <c r="Z25" s="13" t="e">
        <f>Z23/Z24</f>
        <v>#DIV/0!</v>
      </c>
      <c r="AA25" s="13">
        <v>0</v>
      </c>
      <c r="AB25" s="13" t="e">
        <f>AB23/AB24</f>
        <v>#DIV/0!</v>
      </c>
      <c r="AC25" s="13" t="e">
        <f>AC23/AC24</f>
        <v>#DIV/0!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 t="e">
        <f>AI23/AI24</f>
        <v>#DIV/0!</v>
      </c>
      <c r="AJ25" s="13" t="e">
        <f>AJ23/AJ24</f>
        <v>#DIV/0!</v>
      </c>
      <c r="AK25" s="13">
        <v>0</v>
      </c>
      <c r="AL25" s="13">
        <v>0</v>
      </c>
      <c r="AM25" s="13" t="e">
        <f>AM23/AM24</f>
        <v>#DIV/0!</v>
      </c>
      <c r="AN25" s="13">
        <v>0</v>
      </c>
      <c r="AO25" s="13">
        <v>0</v>
      </c>
      <c r="AP25" s="13" t="e">
        <f t="shared" ref="AP25:BC25" si="4">AP23/AP24</f>
        <v>#DIV/0!</v>
      </c>
      <c r="AQ25" s="13" t="e">
        <f t="shared" si="4"/>
        <v>#DIV/0!</v>
      </c>
      <c r="AR25" s="13" t="e">
        <f t="shared" si="4"/>
        <v>#DIV/0!</v>
      </c>
      <c r="AS25" s="13" t="e">
        <f t="shared" si="4"/>
        <v>#DIV/0!</v>
      </c>
      <c r="AT25" s="13" t="e">
        <f t="shared" si="4"/>
        <v>#DIV/0!</v>
      </c>
      <c r="AU25" s="13" t="e">
        <f t="shared" si="4"/>
        <v>#DIV/0!</v>
      </c>
      <c r="AV25" s="13" t="e">
        <f t="shared" si="4"/>
        <v>#DIV/0!</v>
      </c>
      <c r="AW25" s="13" t="e">
        <f t="shared" si="4"/>
        <v>#DIV/0!</v>
      </c>
      <c r="AX25" s="13" t="e">
        <f t="shared" si="4"/>
        <v>#DIV/0!</v>
      </c>
      <c r="AY25" s="13" t="e">
        <f t="shared" si="4"/>
        <v>#DIV/0!</v>
      </c>
      <c r="AZ25" s="13" t="e">
        <f t="shared" si="4"/>
        <v>#DIV/0!</v>
      </c>
      <c r="BA25" s="13" t="e">
        <f t="shared" si="4"/>
        <v>#DIV/0!</v>
      </c>
      <c r="BB25" s="13" t="e">
        <f t="shared" si="4"/>
        <v>#DIV/0!</v>
      </c>
      <c r="BC25" s="13" t="e">
        <f t="shared" si="4"/>
        <v>#DIV/0!</v>
      </c>
    </row>
    <row r="27" spans="1:55" ht="26.4">
      <c r="A27" s="3" t="s">
        <v>39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ht="17.399999999999999">
      <c r="A28" s="96" t="s">
        <v>0</v>
      </c>
      <c r="B28" s="96"/>
      <c r="C28" s="4" t="s">
        <v>129</v>
      </c>
      <c r="D28" s="4" t="s">
        <v>130</v>
      </c>
      <c r="E28" s="4" t="s">
        <v>131</v>
      </c>
      <c r="F28" s="4" t="s">
        <v>132</v>
      </c>
      <c r="G28" s="4" t="s">
        <v>133</v>
      </c>
      <c r="H28" s="4" t="s">
        <v>134</v>
      </c>
      <c r="I28" s="4" t="s">
        <v>135</v>
      </c>
      <c r="J28" s="4" t="s">
        <v>136</v>
      </c>
      <c r="K28" s="4" t="s">
        <v>137</v>
      </c>
      <c r="L28" s="4" t="s">
        <v>138</v>
      </c>
      <c r="M28" s="4" t="s">
        <v>139</v>
      </c>
      <c r="N28" s="4" t="s">
        <v>140</v>
      </c>
      <c r="O28" s="4" t="s">
        <v>141</v>
      </c>
      <c r="P28" s="4" t="s">
        <v>142</v>
      </c>
      <c r="Q28" s="4" t="s">
        <v>143</v>
      </c>
      <c r="R28" s="4" t="s">
        <v>144</v>
      </c>
      <c r="S28" s="4" t="s">
        <v>145</v>
      </c>
      <c r="T28" s="4" t="s">
        <v>146</v>
      </c>
      <c r="U28" s="4" t="s">
        <v>147</v>
      </c>
      <c r="V28" s="4" t="s">
        <v>148</v>
      </c>
      <c r="W28" s="4" t="s">
        <v>149</v>
      </c>
      <c r="X28" s="4" t="s">
        <v>150</v>
      </c>
      <c r="Y28" s="4" t="s">
        <v>151</v>
      </c>
      <c r="Z28" s="4" t="s">
        <v>152</v>
      </c>
      <c r="AA28" s="4" t="s">
        <v>153</v>
      </c>
      <c r="AB28" s="4" t="s">
        <v>154</v>
      </c>
      <c r="AC28" s="4" t="s">
        <v>155</v>
      </c>
      <c r="AD28" s="4" t="s">
        <v>156</v>
      </c>
      <c r="AE28" s="4" t="s">
        <v>157</v>
      </c>
      <c r="AF28" s="4" t="s">
        <v>158</v>
      </c>
      <c r="AG28" s="4" t="s">
        <v>159</v>
      </c>
      <c r="AH28" s="4" t="s">
        <v>160</v>
      </c>
      <c r="AI28" s="4" t="s">
        <v>161</v>
      </c>
      <c r="AJ28" s="4" t="s">
        <v>162</v>
      </c>
      <c r="AK28" s="4" t="s">
        <v>163</v>
      </c>
      <c r="AL28" s="4" t="s">
        <v>164</v>
      </c>
      <c r="AM28" s="4" t="s">
        <v>165</v>
      </c>
      <c r="AN28" s="4" t="s">
        <v>166</v>
      </c>
      <c r="AO28" s="4" t="s">
        <v>167</v>
      </c>
      <c r="AP28" s="4" t="s">
        <v>168</v>
      </c>
      <c r="AQ28" s="4" t="s">
        <v>2</v>
      </c>
      <c r="AR28" s="4" t="s">
        <v>3</v>
      </c>
      <c r="AS28" s="4" t="s">
        <v>4</v>
      </c>
      <c r="AT28" s="4" t="s">
        <v>5</v>
      </c>
      <c r="AU28" s="4" t="s">
        <v>6</v>
      </c>
      <c r="AV28" s="4" t="s">
        <v>7</v>
      </c>
      <c r="AW28" s="4" t="s">
        <v>8</v>
      </c>
      <c r="AX28" s="4" t="s">
        <v>9</v>
      </c>
      <c r="AY28" s="4" t="s">
        <v>10</v>
      </c>
      <c r="AZ28" s="4" t="s">
        <v>11</v>
      </c>
      <c r="BA28" s="4" t="s">
        <v>12</v>
      </c>
      <c r="BB28" s="4" t="s">
        <v>13</v>
      </c>
      <c r="BC28" s="4" t="s">
        <v>347</v>
      </c>
    </row>
    <row r="29" spans="1:55" ht="17.399999999999999">
      <c r="A29" s="97" t="s">
        <v>17</v>
      </c>
      <c r="B29" s="5" t="s">
        <v>30</v>
      </c>
      <c r="C29" s="6">
        <v>0</v>
      </c>
      <c r="D29" s="6">
        <v>0</v>
      </c>
      <c r="E29" s="6">
        <v>0</v>
      </c>
      <c r="F29" s="6">
        <v>20</v>
      </c>
      <c r="G29" s="6">
        <v>20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20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</row>
    <row r="30" spans="1:55" ht="17.399999999999999">
      <c r="A30" s="98"/>
      <c r="B30" s="5" t="s">
        <v>31</v>
      </c>
      <c r="C30" s="6">
        <v>48</v>
      </c>
      <c r="D30" s="6">
        <v>24</v>
      </c>
      <c r="E30" s="6">
        <v>48</v>
      </c>
      <c r="F30" s="6">
        <v>95</v>
      </c>
      <c r="G30" s="6">
        <v>20</v>
      </c>
      <c r="H30" s="6">
        <v>321</v>
      </c>
      <c r="I30" s="6">
        <v>92</v>
      </c>
      <c r="J30" s="6">
        <v>77</v>
      </c>
      <c r="K30" s="6">
        <v>160</v>
      </c>
      <c r="L30" s="6">
        <v>1</v>
      </c>
      <c r="M30" s="6">
        <v>148</v>
      </c>
      <c r="N30" s="6">
        <v>99</v>
      </c>
      <c r="O30" s="6">
        <v>102</v>
      </c>
      <c r="P30" s="6">
        <v>50</v>
      </c>
      <c r="Q30" s="6">
        <v>299</v>
      </c>
      <c r="R30" s="6">
        <v>41</v>
      </c>
      <c r="S30" s="6">
        <v>60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</row>
    <row r="31" spans="1:55" ht="17.399999999999999">
      <c r="A31" s="99"/>
      <c r="B31" s="5" t="s">
        <v>32</v>
      </c>
      <c r="C31" s="14">
        <f t="shared" ref="C31:BC31" si="5">(C29/C30)</f>
        <v>0</v>
      </c>
      <c r="D31" s="14">
        <f t="shared" si="5"/>
        <v>0</v>
      </c>
      <c r="E31" s="14">
        <f t="shared" si="5"/>
        <v>0</v>
      </c>
      <c r="F31" s="14">
        <f t="shared" si="5"/>
        <v>0.21052631578947367</v>
      </c>
      <c r="G31" s="14">
        <f t="shared" si="5"/>
        <v>1</v>
      </c>
      <c r="H31" s="14">
        <f t="shared" si="5"/>
        <v>0</v>
      </c>
      <c r="I31" s="14">
        <f t="shared" si="5"/>
        <v>0</v>
      </c>
      <c r="J31" s="14">
        <f t="shared" si="5"/>
        <v>0</v>
      </c>
      <c r="K31" s="14">
        <f t="shared" si="5"/>
        <v>0</v>
      </c>
      <c r="L31" s="14">
        <f t="shared" si="5"/>
        <v>0</v>
      </c>
      <c r="M31" s="14">
        <f t="shared" si="5"/>
        <v>0</v>
      </c>
      <c r="N31" s="14">
        <f t="shared" si="5"/>
        <v>0</v>
      </c>
      <c r="O31" s="14">
        <f t="shared" si="5"/>
        <v>0.19607843137254902</v>
      </c>
      <c r="P31" s="14">
        <f t="shared" si="5"/>
        <v>0</v>
      </c>
      <c r="Q31" s="14">
        <f t="shared" si="5"/>
        <v>0</v>
      </c>
      <c r="R31" s="14">
        <f t="shared" si="5"/>
        <v>0</v>
      </c>
      <c r="S31" s="14">
        <f t="shared" si="5"/>
        <v>0</v>
      </c>
      <c r="T31" s="14" t="e">
        <f t="shared" si="5"/>
        <v>#DIV/0!</v>
      </c>
      <c r="U31" s="14" t="e">
        <f t="shared" si="5"/>
        <v>#DIV/0!</v>
      </c>
      <c r="V31" s="14" t="e">
        <f t="shared" si="5"/>
        <v>#DIV/0!</v>
      </c>
      <c r="W31" s="14" t="e">
        <f t="shared" si="5"/>
        <v>#DIV/0!</v>
      </c>
      <c r="X31" s="14" t="e">
        <f t="shared" si="5"/>
        <v>#DIV/0!</v>
      </c>
      <c r="Y31" s="14" t="e">
        <f t="shared" si="5"/>
        <v>#DIV/0!</v>
      </c>
      <c r="Z31" s="14" t="e">
        <f t="shared" si="5"/>
        <v>#DIV/0!</v>
      </c>
      <c r="AA31" s="14" t="e">
        <f t="shared" si="5"/>
        <v>#DIV/0!</v>
      </c>
      <c r="AB31" s="14" t="e">
        <f t="shared" si="5"/>
        <v>#DIV/0!</v>
      </c>
      <c r="AC31" s="14" t="e">
        <f t="shared" si="5"/>
        <v>#DIV/0!</v>
      </c>
      <c r="AD31" s="14" t="e">
        <f t="shared" si="5"/>
        <v>#DIV/0!</v>
      </c>
      <c r="AE31" s="14" t="e">
        <f t="shared" si="5"/>
        <v>#DIV/0!</v>
      </c>
      <c r="AF31" s="14" t="e">
        <f t="shared" si="5"/>
        <v>#DIV/0!</v>
      </c>
      <c r="AG31" s="14" t="e">
        <f t="shared" si="5"/>
        <v>#DIV/0!</v>
      </c>
      <c r="AH31" s="14" t="e">
        <f t="shared" si="5"/>
        <v>#DIV/0!</v>
      </c>
      <c r="AI31" s="14" t="e">
        <f t="shared" si="5"/>
        <v>#DIV/0!</v>
      </c>
      <c r="AJ31" s="14" t="e">
        <f t="shared" si="5"/>
        <v>#DIV/0!</v>
      </c>
      <c r="AK31" s="14" t="e">
        <f t="shared" si="5"/>
        <v>#DIV/0!</v>
      </c>
      <c r="AL31" s="14" t="e">
        <f t="shared" si="5"/>
        <v>#DIV/0!</v>
      </c>
      <c r="AM31" s="14" t="e">
        <f t="shared" si="5"/>
        <v>#DIV/0!</v>
      </c>
      <c r="AN31" s="14" t="e">
        <f t="shared" si="5"/>
        <v>#DIV/0!</v>
      </c>
      <c r="AO31" s="14" t="e">
        <f t="shared" si="5"/>
        <v>#DIV/0!</v>
      </c>
      <c r="AP31" s="14" t="e">
        <f t="shared" si="5"/>
        <v>#DIV/0!</v>
      </c>
      <c r="AQ31" s="14" t="e">
        <f t="shared" si="5"/>
        <v>#DIV/0!</v>
      </c>
      <c r="AR31" s="14" t="e">
        <f t="shared" si="5"/>
        <v>#DIV/0!</v>
      </c>
      <c r="AS31" s="14" t="e">
        <f t="shared" si="5"/>
        <v>#DIV/0!</v>
      </c>
      <c r="AT31" s="14" t="e">
        <f t="shared" si="5"/>
        <v>#DIV/0!</v>
      </c>
      <c r="AU31" s="14" t="e">
        <f t="shared" si="5"/>
        <v>#DIV/0!</v>
      </c>
      <c r="AV31" s="14" t="e">
        <f t="shared" si="5"/>
        <v>#DIV/0!</v>
      </c>
      <c r="AW31" s="14" t="e">
        <f t="shared" si="5"/>
        <v>#DIV/0!</v>
      </c>
      <c r="AX31" s="14" t="e">
        <f t="shared" si="5"/>
        <v>#DIV/0!</v>
      </c>
      <c r="AY31" s="14" t="e">
        <f t="shared" si="5"/>
        <v>#DIV/0!</v>
      </c>
      <c r="AZ31" s="14" t="e">
        <f t="shared" si="5"/>
        <v>#DIV/0!</v>
      </c>
      <c r="BA31" s="14" t="e">
        <f t="shared" si="5"/>
        <v>#DIV/0!</v>
      </c>
      <c r="BB31" s="14" t="e">
        <f t="shared" si="5"/>
        <v>#DIV/0!</v>
      </c>
      <c r="BC31" s="14" t="e">
        <f t="shared" si="5"/>
        <v>#DIV/0!</v>
      </c>
    </row>
    <row r="33" spans="1:55" ht="26.4">
      <c r="A33" s="7" t="s">
        <v>40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</row>
    <row r="34" spans="1:55" ht="17.399999999999999">
      <c r="A34" s="100" t="s">
        <v>1</v>
      </c>
      <c r="B34" s="101"/>
      <c r="C34" s="4" t="s">
        <v>129</v>
      </c>
      <c r="D34" s="4" t="s">
        <v>130</v>
      </c>
      <c r="E34" s="4" t="s">
        <v>131</v>
      </c>
      <c r="F34" s="4" t="s">
        <v>132</v>
      </c>
      <c r="G34" s="4" t="s">
        <v>133</v>
      </c>
      <c r="H34" s="4" t="s">
        <v>134</v>
      </c>
      <c r="I34" s="4" t="s">
        <v>135</v>
      </c>
      <c r="J34" s="4" t="s">
        <v>136</v>
      </c>
      <c r="K34" s="4" t="s">
        <v>137</v>
      </c>
      <c r="L34" s="4" t="s">
        <v>138</v>
      </c>
      <c r="M34" s="4" t="s">
        <v>139</v>
      </c>
      <c r="N34" s="4" t="s">
        <v>140</v>
      </c>
      <c r="O34" s="4" t="s">
        <v>141</v>
      </c>
      <c r="P34" s="4" t="s">
        <v>142</v>
      </c>
      <c r="Q34" s="4" t="s">
        <v>143</v>
      </c>
      <c r="R34" s="4" t="s">
        <v>144</v>
      </c>
      <c r="S34" s="4" t="s">
        <v>145</v>
      </c>
      <c r="T34" s="4" t="s">
        <v>146</v>
      </c>
      <c r="U34" s="4" t="s">
        <v>147</v>
      </c>
      <c r="V34" s="4" t="s">
        <v>148</v>
      </c>
      <c r="W34" s="4" t="s">
        <v>149</v>
      </c>
      <c r="X34" s="4" t="s">
        <v>150</v>
      </c>
      <c r="Y34" s="4" t="s">
        <v>151</v>
      </c>
      <c r="Z34" s="4" t="s">
        <v>152</v>
      </c>
      <c r="AA34" s="4" t="s">
        <v>153</v>
      </c>
      <c r="AB34" s="4" t="s">
        <v>154</v>
      </c>
      <c r="AC34" s="4" t="s">
        <v>155</v>
      </c>
      <c r="AD34" s="4" t="s">
        <v>156</v>
      </c>
      <c r="AE34" s="4" t="s">
        <v>157</v>
      </c>
      <c r="AF34" s="4" t="s">
        <v>158</v>
      </c>
      <c r="AG34" s="4" t="s">
        <v>159</v>
      </c>
      <c r="AH34" s="4" t="s">
        <v>160</v>
      </c>
      <c r="AI34" s="4" t="s">
        <v>161</v>
      </c>
      <c r="AJ34" s="4" t="s">
        <v>162</v>
      </c>
      <c r="AK34" s="4" t="s">
        <v>163</v>
      </c>
      <c r="AL34" s="4" t="s">
        <v>164</v>
      </c>
      <c r="AM34" s="4" t="s">
        <v>165</v>
      </c>
      <c r="AN34" s="4" t="s">
        <v>166</v>
      </c>
      <c r="AO34" s="4" t="s">
        <v>167</v>
      </c>
      <c r="AP34" s="4" t="s">
        <v>168</v>
      </c>
      <c r="AQ34" s="4" t="s">
        <v>2</v>
      </c>
      <c r="AR34" s="4" t="s">
        <v>3</v>
      </c>
      <c r="AS34" s="4" t="s">
        <v>4</v>
      </c>
      <c r="AT34" s="4" t="s">
        <v>5</v>
      </c>
      <c r="AU34" s="4" t="s">
        <v>6</v>
      </c>
      <c r="AV34" s="4" t="s">
        <v>7</v>
      </c>
      <c r="AW34" s="4" t="s">
        <v>8</v>
      </c>
      <c r="AX34" s="4" t="s">
        <v>9</v>
      </c>
      <c r="AY34" s="4" t="s">
        <v>10</v>
      </c>
      <c r="AZ34" s="4" t="s">
        <v>11</v>
      </c>
      <c r="BA34" s="4" t="s">
        <v>12</v>
      </c>
      <c r="BB34" s="4" t="s">
        <v>13</v>
      </c>
      <c r="BC34" s="4" t="s">
        <v>347</v>
      </c>
    </row>
    <row r="35" spans="1:55" ht="17.399999999999999">
      <c r="A35" s="102" t="s">
        <v>14</v>
      </c>
      <c r="B35" s="8" t="s">
        <v>30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1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</row>
    <row r="36" spans="1:55" ht="17.399999999999999">
      <c r="A36" s="103"/>
      <c r="B36" s="8" t="s">
        <v>33</v>
      </c>
      <c r="C36" s="6">
        <v>223</v>
      </c>
      <c r="D36" s="6">
        <v>205</v>
      </c>
      <c r="E36" s="6">
        <v>249</v>
      </c>
      <c r="F36" s="6">
        <v>58</v>
      </c>
      <c r="G36" s="6">
        <v>100</v>
      </c>
      <c r="H36" s="6">
        <v>91</v>
      </c>
      <c r="I36" s="6">
        <v>57</v>
      </c>
      <c r="J36" s="6">
        <v>82</v>
      </c>
      <c r="K36" s="6">
        <v>116</v>
      </c>
      <c r="L36" s="6">
        <v>35</v>
      </c>
      <c r="M36" s="6">
        <v>59</v>
      </c>
      <c r="N36" s="6">
        <v>51</v>
      </c>
      <c r="O36" s="6">
        <v>87</v>
      </c>
      <c r="P36" s="6">
        <v>53</v>
      </c>
      <c r="Q36" s="6">
        <v>140</v>
      </c>
      <c r="R36" s="6">
        <v>17</v>
      </c>
      <c r="S36" s="6">
        <v>58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</row>
    <row r="37" spans="1:55" ht="18" thickBot="1">
      <c r="A37" s="104"/>
      <c r="B37" s="12" t="s">
        <v>32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f>O35/O36</f>
        <v>1.1494252873563218E-2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</row>
    <row r="39" spans="1:55" ht="20.100000000000001" customHeight="1">
      <c r="A39" s="9" t="s">
        <v>38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</row>
    <row r="40" spans="1:55" ht="30.6" customHeight="1">
      <c r="A40" s="106" t="s">
        <v>26</v>
      </c>
      <c r="B40" s="106"/>
      <c r="C40" s="4" t="s">
        <v>129</v>
      </c>
      <c r="D40" s="4" t="s">
        <v>130</v>
      </c>
      <c r="E40" s="4" t="s">
        <v>131</v>
      </c>
      <c r="F40" s="4" t="s">
        <v>132</v>
      </c>
      <c r="G40" s="4" t="s">
        <v>133</v>
      </c>
      <c r="H40" s="4" t="s">
        <v>134</v>
      </c>
      <c r="I40" s="4" t="s">
        <v>135</v>
      </c>
      <c r="J40" s="4" t="s">
        <v>136</v>
      </c>
      <c r="K40" s="4" t="s">
        <v>137</v>
      </c>
      <c r="L40" s="4" t="s">
        <v>138</v>
      </c>
      <c r="M40" s="4" t="s">
        <v>139</v>
      </c>
      <c r="N40" s="4" t="s">
        <v>140</v>
      </c>
      <c r="O40" s="4" t="s">
        <v>141</v>
      </c>
      <c r="P40" s="4" t="s">
        <v>142</v>
      </c>
      <c r="Q40" s="4" t="s">
        <v>143</v>
      </c>
      <c r="R40" s="4" t="s">
        <v>144</v>
      </c>
      <c r="S40" s="4" t="s">
        <v>145</v>
      </c>
      <c r="T40" s="4" t="s">
        <v>146</v>
      </c>
      <c r="U40" s="4" t="s">
        <v>147</v>
      </c>
      <c r="V40" s="4" t="s">
        <v>148</v>
      </c>
      <c r="W40" s="4" t="s">
        <v>149</v>
      </c>
      <c r="X40" s="4" t="s">
        <v>150</v>
      </c>
      <c r="Y40" s="4" t="s">
        <v>151</v>
      </c>
      <c r="Z40" s="4" t="s">
        <v>152</v>
      </c>
      <c r="AA40" s="4" t="s">
        <v>153</v>
      </c>
      <c r="AB40" s="4" t="s">
        <v>154</v>
      </c>
      <c r="AC40" s="4" t="s">
        <v>155</v>
      </c>
      <c r="AD40" s="4" t="s">
        <v>156</v>
      </c>
      <c r="AE40" s="4" t="s">
        <v>157</v>
      </c>
      <c r="AF40" s="4" t="s">
        <v>158</v>
      </c>
      <c r="AG40" s="4" t="s">
        <v>159</v>
      </c>
      <c r="AH40" s="4" t="s">
        <v>160</v>
      </c>
      <c r="AI40" s="4" t="s">
        <v>161</v>
      </c>
      <c r="AJ40" s="4" t="s">
        <v>162</v>
      </c>
      <c r="AK40" s="4" t="s">
        <v>163</v>
      </c>
      <c r="AL40" s="4" t="s">
        <v>164</v>
      </c>
      <c r="AM40" s="4" t="s">
        <v>165</v>
      </c>
      <c r="AN40" s="4" t="s">
        <v>166</v>
      </c>
      <c r="AO40" s="4" t="s">
        <v>167</v>
      </c>
      <c r="AP40" s="4" t="s">
        <v>168</v>
      </c>
      <c r="AQ40" s="4" t="s">
        <v>2</v>
      </c>
      <c r="AR40" s="4" t="s">
        <v>3</v>
      </c>
      <c r="AS40" s="4" t="s">
        <v>4</v>
      </c>
      <c r="AT40" s="4" t="s">
        <v>5</v>
      </c>
      <c r="AU40" s="4" t="s">
        <v>6</v>
      </c>
      <c r="AV40" s="4" t="s">
        <v>7</v>
      </c>
      <c r="AW40" s="4" t="s">
        <v>8</v>
      </c>
      <c r="AX40" s="4" t="s">
        <v>9</v>
      </c>
      <c r="AY40" s="4" t="s">
        <v>10</v>
      </c>
      <c r="AZ40" s="4" t="s">
        <v>11</v>
      </c>
      <c r="BA40" s="4" t="s">
        <v>12</v>
      </c>
      <c r="BB40" s="4" t="s">
        <v>13</v>
      </c>
      <c r="BC40" s="4" t="s">
        <v>347</v>
      </c>
    </row>
    <row r="41" spans="1:55" ht="27" customHeight="1">
      <c r="A41" s="105" t="s">
        <v>15</v>
      </c>
      <c r="B41" s="105"/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</row>
    <row r="42" spans="1:55" ht="27" customHeight="1" thickBot="1">
      <c r="A42" s="95" t="s">
        <v>16</v>
      </c>
      <c r="B42" s="95"/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</row>
    <row r="43" spans="1:55" ht="16.8" thickTop="1"/>
  </sheetData>
  <mergeCells count="15">
    <mergeCell ref="A42:B42"/>
    <mergeCell ref="A4:B4"/>
    <mergeCell ref="A5:A7"/>
    <mergeCell ref="A10:B10"/>
    <mergeCell ref="A11:A13"/>
    <mergeCell ref="A41:B41"/>
    <mergeCell ref="A40:B40"/>
    <mergeCell ref="A16:B16"/>
    <mergeCell ref="A17:A19"/>
    <mergeCell ref="A22:B22"/>
    <mergeCell ref="A23:A25"/>
    <mergeCell ref="A28:B28"/>
    <mergeCell ref="A29:A31"/>
    <mergeCell ref="A34:B34"/>
    <mergeCell ref="A35:A37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AE47-4707-4517-A405-0420BA7C6103}">
  <sheetPr codeName="Sheet3"/>
  <dimension ref="A1:S10"/>
  <sheetViews>
    <sheetView zoomScale="90" zoomScaleNormal="90" workbookViewId="0">
      <selection activeCell="A10" sqref="A10"/>
    </sheetView>
  </sheetViews>
  <sheetFormatPr defaultColWidth="9" defaultRowHeight="16.2"/>
  <cols>
    <col min="1" max="1" width="8.5546875" style="58" customWidth="1"/>
    <col min="2" max="2" width="11.77734375" style="58" bestFit="1" customWidth="1"/>
    <col min="3" max="3" width="17.109375" style="58" customWidth="1"/>
    <col min="4" max="4" width="13.109375" style="58" bestFit="1" customWidth="1"/>
    <col min="5" max="5" width="19.77734375" style="58" bestFit="1" customWidth="1"/>
    <col min="6" max="6" width="10.44140625" style="58" bestFit="1" customWidth="1"/>
    <col min="7" max="7" width="10.44140625" style="58" customWidth="1"/>
    <col min="8" max="8" width="28.44140625" style="58" bestFit="1" customWidth="1"/>
    <col min="9" max="9" width="24.44140625" style="58" customWidth="1"/>
    <col min="10" max="10" width="17.44140625" style="58" customWidth="1"/>
    <col min="11" max="11" width="25.44140625" style="58" bestFit="1" customWidth="1"/>
    <col min="12" max="12" width="5.77734375" style="58" customWidth="1"/>
    <col min="13" max="13" width="14.5546875" style="58" customWidth="1"/>
    <col min="14" max="14" width="13.77734375" style="75" customWidth="1"/>
    <col min="15" max="15" width="11" style="75" customWidth="1"/>
    <col min="16" max="16" width="11.44140625" style="75" customWidth="1"/>
    <col min="17" max="17" width="26" style="58" customWidth="1"/>
    <col min="18" max="18" width="8.77734375" style="58" bestFit="1" customWidth="1"/>
    <col min="19" max="19" width="34" style="58" bestFit="1" customWidth="1"/>
    <col min="20" max="16384" width="9" style="58"/>
  </cols>
  <sheetData>
    <row r="1" spans="1:19" ht="28.5" customHeight="1">
      <c r="A1" s="70" t="s">
        <v>19</v>
      </c>
      <c r="B1" s="71" t="s">
        <v>192</v>
      </c>
      <c r="C1" s="71" t="s">
        <v>238</v>
      </c>
      <c r="D1" s="71" t="s">
        <v>198</v>
      </c>
      <c r="E1" s="71" t="s">
        <v>197</v>
      </c>
      <c r="F1" s="71" t="s">
        <v>196</v>
      </c>
      <c r="G1" s="71" t="s">
        <v>368</v>
      </c>
      <c r="H1" s="71" t="s">
        <v>369</v>
      </c>
      <c r="I1" s="71" t="s">
        <v>370</v>
      </c>
      <c r="J1" s="71" t="s">
        <v>202</v>
      </c>
      <c r="K1" s="71" t="s">
        <v>201</v>
      </c>
      <c r="L1" s="71" t="s">
        <v>379</v>
      </c>
      <c r="M1" s="71" t="s">
        <v>200</v>
      </c>
      <c r="N1" s="72" t="s">
        <v>282</v>
      </c>
      <c r="O1" s="78" t="s">
        <v>195</v>
      </c>
      <c r="P1" s="72" t="s">
        <v>327</v>
      </c>
      <c r="Q1" s="71" t="s">
        <v>194</v>
      </c>
      <c r="R1" s="71" t="s">
        <v>193</v>
      </c>
      <c r="S1" s="71" t="s">
        <v>199</v>
      </c>
    </row>
    <row r="2" spans="1:19" s="83" customFormat="1" ht="24" customHeight="1">
      <c r="A2" s="81" t="s">
        <v>145</v>
      </c>
      <c r="B2" s="84">
        <v>46129</v>
      </c>
      <c r="C2" s="85">
        <v>5001361595</v>
      </c>
      <c r="D2" s="85" t="s">
        <v>407</v>
      </c>
      <c r="E2" s="85" t="s">
        <v>408</v>
      </c>
      <c r="F2" s="85" t="s">
        <v>267</v>
      </c>
      <c r="G2" s="85" t="s">
        <v>366</v>
      </c>
      <c r="H2" s="85" t="s">
        <v>430</v>
      </c>
      <c r="I2" s="85" t="s">
        <v>367</v>
      </c>
      <c r="J2" s="85" t="s">
        <v>439</v>
      </c>
      <c r="K2" s="85" t="s">
        <v>388</v>
      </c>
      <c r="L2" s="85" t="s">
        <v>393</v>
      </c>
      <c r="M2" s="85" t="s">
        <v>394</v>
      </c>
      <c r="N2" s="86">
        <v>84</v>
      </c>
      <c r="O2" s="86">
        <v>20</v>
      </c>
      <c r="P2" s="87">
        <v>0</v>
      </c>
      <c r="Q2" s="82"/>
      <c r="R2" s="85" t="s">
        <v>365</v>
      </c>
      <c r="S2" s="85" t="s">
        <v>371</v>
      </c>
    </row>
    <row r="3" spans="1:19" s="83" customFormat="1" ht="24" customHeight="1">
      <c r="A3" s="81" t="s">
        <v>145</v>
      </c>
      <c r="B3" s="84">
        <v>46134</v>
      </c>
      <c r="C3" s="85" t="s">
        <v>409</v>
      </c>
      <c r="D3" s="85" t="s">
        <v>410</v>
      </c>
      <c r="E3" s="85" t="s">
        <v>411</v>
      </c>
      <c r="F3" s="85" t="s">
        <v>267</v>
      </c>
      <c r="G3" s="85" t="s">
        <v>366</v>
      </c>
      <c r="H3" s="85" t="s">
        <v>431</v>
      </c>
      <c r="I3" s="85" t="s">
        <v>367</v>
      </c>
      <c r="J3" s="85" t="s">
        <v>440</v>
      </c>
      <c r="K3" s="85" t="s">
        <v>441</v>
      </c>
      <c r="L3" s="85" t="s">
        <v>381</v>
      </c>
      <c r="M3" s="85" t="s">
        <v>451</v>
      </c>
      <c r="N3" s="86">
        <v>48</v>
      </c>
      <c r="O3" s="86">
        <v>8</v>
      </c>
      <c r="P3" s="87">
        <v>0</v>
      </c>
      <c r="Q3" s="82"/>
      <c r="R3" s="85" t="s">
        <v>365</v>
      </c>
      <c r="S3" s="85" t="s">
        <v>384</v>
      </c>
    </row>
    <row r="4" spans="1:19" s="83" customFormat="1" ht="24" customHeight="1">
      <c r="A4" s="81" t="s">
        <v>145</v>
      </c>
      <c r="B4" s="84">
        <v>46134</v>
      </c>
      <c r="C4" s="85" t="s">
        <v>409</v>
      </c>
      <c r="D4" s="85" t="s">
        <v>412</v>
      </c>
      <c r="E4" s="85" t="s">
        <v>411</v>
      </c>
      <c r="F4" s="85" t="s">
        <v>267</v>
      </c>
      <c r="G4" s="85" t="s">
        <v>366</v>
      </c>
      <c r="H4" s="85" t="s">
        <v>432</v>
      </c>
      <c r="I4" s="85" t="s">
        <v>367</v>
      </c>
      <c r="J4" s="85" t="s">
        <v>442</v>
      </c>
      <c r="K4" s="85" t="s">
        <v>443</v>
      </c>
      <c r="L4" s="85" t="s">
        <v>381</v>
      </c>
      <c r="M4" s="85" t="s">
        <v>451</v>
      </c>
      <c r="N4" s="86">
        <v>48</v>
      </c>
      <c r="O4" s="86">
        <v>8</v>
      </c>
      <c r="P4" s="87">
        <v>0</v>
      </c>
      <c r="Q4" s="82"/>
      <c r="R4" s="85" t="s">
        <v>365</v>
      </c>
      <c r="S4" s="85" t="s">
        <v>384</v>
      </c>
    </row>
    <row r="5" spans="1:19" s="83" customFormat="1" ht="24" customHeight="1">
      <c r="A5" s="81" t="s">
        <v>145</v>
      </c>
      <c r="B5" s="84">
        <v>46128</v>
      </c>
      <c r="C5" s="85" t="s">
        <v>413</v>
      </c>
      <c r="D5" s="85" t="s">
        <v>414</v>
      </c>
      <c r="E5" s="85" t="s">
        <v>415</v>
      </c>
      <c r="F5" s="85" t="s">
        <v>267</v>
      </c>
      <c r="G5" s="85" t="s">
        <v>366</v>
      </c>
      <c r="H5" s="85" t="s">
        <v>433</v>
      </c>
      <c r="I5" s="85" t="s">
        <v>367</v>
      </c>
      <c r="J5" s="85" t="s">
        <v>444</v>
      </c>
      <c r="K5" s="85" t="s">
        <v>445</v>
      </c>
      <c r="L5" s="85" t="s">
        <v>278</v>
      </c>
      <c r="M5" s="85" t="s">
        <v>452</v>
      </c>
      <c r="N5" s="86">
        <v>10</v>
      </c>
      <c r="O5" s="86">
        <v>10</v>
      </c>
      <c r="P5" s="87">
        <v>0</v>
      </c>
      <c r="Q5" s="82"/>
      <c r="R5" s="85" t="s">
        <v>365</v>
      </c>
      <c r="S5" s="85" t="s">
        <v>384</v>
      </c>
    </row>
    <row r="6" spans="1:19" ht="24" customHeight="1">
      <c r="A6" s="81" t="s">
        <v>145</v>
      </c>
      <c r="B6" s="84">
        <v>46133</v>
      </c>
      <c r="C6" s="85" t="s">
        <v>416</v>
      </c>
      <c r="D6" s="85" t="s">
        <v>417</v>
      </c>
      <c r="E6" s="85" t="s">
        <v>418</v>
      </c>
      <c r="F6" s="85" t="s">
        <v>267</v>
      </c>
      <c r="G6" s="85" t="s">
        <v>366</v>
      </c>
      <c r="H6" s="85" t="s">
        <v>434</v>
      </c>
      <c r="I6" s="85" t="s">
        <v>367</v>
      </c>
      <c r="J6" s="85" t="s">
        <v>446</v>
      </c>
      <c r="K6" s="85" t="s">
        <v>188</v>
      </c>
      <c r="L6" s="85" t="s">
        <v>380</v>
      </c>
      <c r="M6" s="85" t="s">
        <v>453</v>
      </c>
      <c r="N6" s="86">
        <v>20</v>
      </c>
      <c r="O6" s="86">
        <v>20</v>
      </c>
      <c r="P6" s="87">
        <v>0</v>
      </c>
      <c r="Q6" s="80"/>
      <c r="R6" s="85" t="s">
        <v>365</v>
      </c>
      <c r="S6" s="85" t="s">
        <v>374</v>
      </c>
    </row>
    <row r="7" spans="1:19" ht="24" customHeight="1">
      <c r="A7" s="81" t="s">
        <v>145</v>
      </c>
      <c r="B7" s="84">
        <v>46133</v>
      </c>
      <c r="C7" s="85" t="s">
        <v>419</v>
      </c>
      <c r="D7" s="85" t="s">
        <v>420</v>
      </c>
      <c r="E7" s="85" t="s">
        <v>421</v>
      </c>
      <c r="F7" s="85" t="s">
        <v>267</v>
      </c>
      <c r="G7" s="85" t="s">
        <v>366</v>
      </c>
      <c r="H7" s="85" t="s">
        <v>435</v>
      </c>
      <c r="I7" s="85" t="s">
        <v>367</v>
      </c>
      <c r="J7" s="85" t="s">
        <v>446</v>
      </c>
      <c r="K7" s="85" t="s">
        <v>188</v>
      </c>
      <c r="L7" s="85" t="s">
        <v>380</v>
      </c>
      <c r="M7" s="85" t="s">
        <v>453</v>
      </c>
      <c r="N7" s="86">
        <v>26</v>
      </c>
      <c r="O7" s="86">
        <v>20</v>
      </c>
      <c r="P7" s="87">
        <v>0</v>
      </c>
      <c r="Q7" s="80"/>
      <c r="R7" s="85" t="s">
        <v>365</v>
      </c>
      <c r="S7" s="85" t="s">
        <v>374</v>
      </c>
    </row>
    <row r="8" spans="1:19" ht="24" customHeight="1">
      <c r="A8" s="81" t="s">
        <v>145</v>
      </c>
      <c r="B8" s="84">
        <v>46132</v>
      </c>
      <c r="C8" s="85" t="s">
        <v>422</v>
      </c>
      <c r="D8" s="85" t="s">
        <v>423</v>
      </c>
      <c r="E8" s="85" t="s">
        <v>399</v>
      </c>
      <c r="F8" s="85" t="s">
        <v>267</v>
      </c>
      <c r="G8" s="85" t="s">
        <v>366</v>
      </c>
      <c r="H8" s="85" t="s">
        <v>436</v>
      </c>
      <c r="I8" s="85" t="s">
        <v>367</v>
      </c>
      <c r="J8" s="85" t="s">
        <v>395</v>
      </c>
      <c r="K8" s="85" t="s">
        <v>396</v>
      </c>
      <c r="L8" s="85" t="s">
        <v>393</v>
      </c>
      <c r="M8" s="85" t="s">
        <v>400</v>
      </c>
      <c r="N8" s="86">
        <v>60</v>
      </c>
      <c r="O8" s="86">
        <v>20</v>
      </c>
      <c r="P8" s="87">
        <v>0</v>
      </c>
      <c r="Q8" s="80"/>
      <c r="R8" s="85" t="s">
        <v>365</v>
      </c>
      <c r="S8" s="85" t="s">
        <v>371</v>
      </c>
    </row>
    <row r="9" spans="1:19" ht="24" customHeight="1">
      <c r="A9" s="81" t="s">
        <v>145</v>
      </c>
      <c r="B9" s="84">
        <v>46135</v>
      </c>
      <c r="C9" s="85" t="s">
        <v>424</v>
      </c>
      <c r="D9" s="85" t="s">
        <v>425</v>
      </c>
      <c r="E9" s="85" t="s">
        <v>426</v>
      </c>
      <c r="F9" s="85" t="s">
        <v>267</v>
      </c>
      <c r="G9" s="85" t="s">
        <v>366</v>
      </c>
      <c r="H9" s="85" t="s">
        <v>437</v>
      </c>
      <c r="I9" s="85" t="s">
        <v>367</v>
      </c>
      <c r="J9" s="85" t="s">
        <v>447</v>
      </c>
      <c r="K9" s="85" t="s">
        <v>448</v>
      </c>
      <c r="L9" s="85" t="s">
        <v>278</v>
      </c>
      <c r="M9" s="85" t="s">
        <v>278</v>
      </c>
      <c r="N9" s="86">
        <v>200</v>
      </c>
      <c r="O9" s="86">
        <v>20</v>
      </c>
      <c r="P9" s="87">
        <v>0</v>
      </c>
      <c r="Q9" s="80"/>
      <c r="R9" s="85" t="s">
        <v>365</v>
      </c>
      <c r="S9" s="85" t="s">
        <v>374</v>
      </c>
    </row>
    <row r="10" spans="1:19" ht="24" customHeight="1">
      <c r="A10" s="81" t="s">
        <v>145</v>
      </c>
      <c r="B10" s="84">
        <v>46134</v>
      </c>
      <c r="C10" s="85" t="s">
        <v>427</v>
      </c>
      <c r="D10" s="85" t="s">
        <v>428</v>
      </c>
      <c r="E10" s="85" t="s">
        <v>429</v>
      </c>
      <c r="F10" s="85" t="s">
        <v>267</v>
      </c>
      <c r="G10" s="85" t="s">
        <v>366</v>
      </c>
      <c r="H10" s="85" t="s">
        <v>438</v>
      </c>
      <c r="I10" s="85" t="s">
        <v>367</v>
      </c>
      <c r="J10" s="85" t="s">
        <v>449</v>
      </c>
      <c r="K10" s="85" t="s">
        <v>450</v>
      </c>
      <c r="L10" s="85" t="s">
        <v>380</v>
      </c>
      <c r="M10" s="85" t="s">
        <v>397</v>
      </c>
      <c r="N10" s="86">
        <v>144</v>
      </c>
      <c r="O10" s="86">
        <v>20</v>
      </c>
      <c r="P10" s="87">
        <v>0</v>
      </c>
      <c r="Q10" s="60"/>
      <c r="R10" s="85" t="s">
        <v>365</v>
      </c>
      <c r="S10" s="85" t="s">
        <v>371</v>
      </c>
    </row>
  </sheetData>
  <sortState xmlns:xlrd2="http://schemas.microsoft.com/office/spreadsheetml/2017/richdata2" ref="A2:S9">
    <sortCondition ref="B1:B9"/>
  </sortState>
  <phoneticPr fontId="7" type="noConversion"/>
  <pageMargins left="0.7" right="0.7" top="0.75" bottom="0.75" header="0.3" footer="0.3"/>
  <pageSetup orientation="portrait" r:id="rId1"/>
  <ignoredErrors>
    <ignoredError sqref="M1 C1:F1 J1:K1 C2:G10 M2:M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B083-5732-467B-AB4D-130EC4DB76FB}">
  <sheetPr codeName="Sheet4"/>
  <dimension ref="A1:N128"/>
  <sheetViews>
    <sheetView showGridLines="0" tabSelected="1" topLeftCell="H1" zoomScale="80" zoomScaleNormal="80" zoomScaleSheetLayoutView="80" workbookViewId="0">
      <pane ySplit="2" topLeftCell="A54" activePane="bottomLeft" state="frozen"/>
      <selection pane="bottomLeft" activeCell="K65" sqref="K65"/>
    </sheetView>
  </sheetViews>
  <sheetFormatPr defaultColWidth="9" defaultRowHeight="13.8"/>
  <cols>
    <col min="1" max="2" width="7.44140625" style="25" customWidth="1"/>
    <col min="3" max="3" width="11.5546875" style="26" customWidth="1"/>
    <col min="4" max="4" width="14.77734375" style="27" customWidth="1"/>
    <col min="5" max="5" width="14.77734375" style="15" customWidth="1"/>
    <col min="6" max="7" width="15.77734375" style="28" customWidth="1"/>
    <col min="8" max="8" width="39.109375" style="15" customWidth="1"/>
    <col min="9" max="9" width="74.77734375" style="15" customWidth="1"/>
    <col min="10" max="10" width="24.109375" style="15" customWidth="1"/>
    <col min="11" max="11" width="70.77734375" style="15" customWidth="1"/>
    <col min="12" max="12" width="11.77734375" style="15" customWidth="1"/>
    <col min="13" max="13" width="12.44140625" style="15" customWidth="1"/>
    <col min="14" max="14" width="25.5546875" style="15" bestFit="1" customWidth="1"/>
    <col min="15" max="16384" width="9" style="15"/>
  </cols>
  <sheetData>
    <row r="1" spans="1:14" ht="27.6">
      <c r="A1" s="89" t="s">
        <v>28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</row>
    <row r="2" spans="1:14" s="24" customFormat="1" ht="56.25" customHeight="1">
      <c r="A2" s="16" t="s">
        <v>18</v>
      </c>
      <c r="B2" s="16" t="s">
        <v>458</v>
      </c>
      <c r="C2" s="17" t="s">
        <v>19</v>
      </c>
      <c r="D2" s="18" t="s">
        <v>20</v>
      </c>
      <c r="E2" s="19" t="s">
        <v>21</v>
      </c>
      <c r="F2" s="19" t="s">
        <v>462</v>
      </c>
      <c r="G2" s="19" t="s">
        <v>29</v>
      </c>
      <c r="H2" s="20" t="s">
        <v>463</v>
      </c>
      <c r="I2" s="20" t="s">
        <v>22</v>
      </c>
      <c r="J2" s="21" t="s">
        <v>459</v>
      </c>
      <c r="K2" s="22" t="s">
        <v>23</v>
      </c>
      <c r="L2" s="23" t="s">
        <v>24</v>
      </c>
      <c r="M2" s="23" t="s">
        <v>25</v>
      </c>
      <c r="N2" s="22" t="s">
        <v>27</v>
      </c>
    </row>
    <row r="3" spans="1:14" ht="25.5" customHeight="1">
      <c r="A3" s="29">
        <v>1</v>
      </c>
      <c r="B3" s="29">
        <v>2024</v>
      </c>
      <c r="C3" s="30">
        <v>41</v>
      </c>
      <c r="D3" s="31">
        <v>45566</v>
      </c>
      <c r="E3" s="32" t="s">
        <v>43</v>
      </c>
      <c r="F3" s="33" t="s">
        <v>44</v>
      </c>
      <c r="G3" s="33" t="s">
        <v>45</v>
      </c>
      <c r="H3" s="34" t="s">
        <v>46</v>
      </c>
      <c r="I3" s="35" t="s">
        <v>47</v>
      </c>
      <c r="J3" s="36">
        <v>1</v>
      </c>
      <c r="K3" s="56" t="s">
        <v>48</v>
      </c>
      <c r="L3" s="37" t="s">
        <v>49</v>
      </c>
      <c r="M3" s="38"/>
      <c r="N3" s="39"/>
    </row>
    <row r="4" spans="1:14" ht="25.5" customHeight="1">
      <c r="A4" s="29">
        <v>2</v>
      </c>
      <c r="B4" s="29">
        <v>2024</v>
      </c>
      <c r="C4" s="30">
        <v>41</v>
      </c>
      <c r="D4" s="31">
        <v>45574</v>
      </c>
      <c r="E4" s="32" t="s">
        <v>43</v>
      </c>
      <c r="F4" s="33" t="s">
        <v>44</v>
      </c>
      <c r="G4" s="33" t="s">
        <v>45</v>
      </c>
      <c r="H4" s="34" t="s">
        <v>50</v>
      </c>
      <c r="I4" s="35" t="s">
        <v>51</v>
      </c>
      <c r="J4" s="36">
        <v>1</v>
      </c>
      <c r="K4" s="56" t="s">
        <v>52</v>
      </c>
      <c r="L4" s="37" t="s">
        <v>49</v>
      </c>
      <c r="M4" s="38"/>
      <c r="N4" s="39"/>
    </row>
    <row r="5" spans="1:14" ht="25.5" customHeight="1">
      <c r="A5" s="29">
        <v>3</v>
      </c>
      <c r="B5" s="29">
        <v>2024</v>
      </c>
      <c r="C5" s="30">
        <v>41</v>
      </c>
      <c r="D5" s="31">
        <v>45574</v>
      </c>
      <c r="E5" s="32" t="s">
        <v>43</v>
      </c>
      <c r="F5" s="33" t="s">
        <v>44</v>
      </c>
      <c r="G5" s="33" t="s">
        <v>45</v>
      </c>
      <c r="H5" s="34" t="s">
        <v>50</v>
      </c>
      <c r="I5" s="35" t="s">
        <v>53</v>
      </c>
      <c r="J5" s="36">
        <v>1</v>
      </c>
      <c r="K5" s="56" t="s">
        <v>52</v>
      </c>
      <c r="L5" s="37" t="s">
        <v>49</v>
      </c>
      <c r="M5" s="38"/>
      <c r="N5" s="39"/>
    </row>
    <row r="6" spans="1:14" ht="25.5" customHeight="1">
      <c r="A6" s="29">
        <v>4</v>
      </c>
      <c r="B6" s="29">
        <v>2024</v>
      </c>
      <c r="C6" s="30">
        <v>41</v>
      </c>
      <c r="D6" s="31">
        <v>45574</v>
      </c>
      <c r="E6" s="32" t="s">
        <v>43</v>
      </c>
      <c r="F6" s="33" t="s">
        <v>44</v>
      </c>
      <c r="G6" s="33" t="s">
        <v>45</v>
      </c>
      <c r="H6" s="34" t="s">
        <v>50</v>
      </c>
      <c r="I6" s="35" t="s">
        <v>54</v>
      </c>
      <c r="J6" s="36">
        <v>1</v>
      </c>
      <c r="K6" s="56" t="s">
        <v>52</v>
      </c>
      <c r="L6" s="37" t="s">
        <v>49</v>
      </c>
      <c r="M6" s="38"/>
      <c r="N6" s="39"/>
    </row>
    <row r="7" spans="1:14" ht="25.5" customHeight="1">
      <c r="A7" s="29">
        <v>5</v>
      </c>
      <c r="B7" s="29">
        <v>2024</v>
      </c>
      <c r="C7" s="30">
        <v>41</v>
      </c>
      <c r="D7" s="31">
        <v>45576</v>
      </c>
      <c r="E7" s="32" t="s">
        <v>43</v>
      </c>
      <c r="F7" s="33" t="s">
        <v>44</v>
      </c>
      <c r="G7" s="33" t="s">
        <v>45</v>
      </c>
      <c r="H7" s="34" t="s">
        <v>50</v>
      </c>
      <c r="I7" s="35" t="s">
        <v>55</v>
      </c>
      <c r="J7" s="36">
        <v>1</v>
      </c>
      <c r="K7" s="56" t="s">
        <v>56</v>
      </c>
      <c r="L7" s="37" t="s">
        <v>49</v>
      </c>
      <c r="M7" s="38"/>
      <c r="N7" s="39"/>
    </row>
    <row r="8" spans="1:14" ht="25.5" customHeight="1">
      <c r="A8" s="29">
        <v>6</v>
      </c>
      <c r="B8" s="29">
        <v>2024</v>
      </c>
      <c r="C8" s="30">
        <v>42</v>
      </c>
      <c r="D8" s="31">
        <v>45580</v>
      </c>
      <c r="E8" s="32" t="s">
        <v>43</v>
      </c>
      <c r="F8" s="33" t="s">
        <v>57</v>
      </c>
      <c r="G8" s="33" t="s">
        <v>45</v>
      </c>
      <c r="H8" s="34" t="s">
        <v>50</v>
      </c>
      <c r="I8" s="35" t="s">
        <v>58</v>
      </c>
      <c r="J8" s="41">
        <v>1</v>
      </c>
      <c r="K8" s="40" t="s">
        <v>59</v>
      </c>
      <c r="L8" s="37" t="s">
        <v>60</v>
      </c>
      <c r="M8" s="38"/>
      <c r="N8" s="39"/>
    </row>
    <row r="9" spans="1:14" ht="25.5" customHeight="1">
      <c r="A9" s="29">
        <v>7</v>
      </c>
      <c r="B9" s="29">
        <v>2024</v>
      </c>
      <c r="C9" s="30">
        <v>42</v>
      </c>
      <c r="D9" s="31">
        <v>45579</v>
      </c>
      <c r="E9" s="32" t="s">
        <v>43</v>
      </c>
      <c r="F9" s="33" t="s">
        <v>44</v>
      </c>
      <c r="G9" s="33" t="s">
        <v>45</v>
      </c>
      <c r="H9" s="34" t="s">
        <v>50</v>
      </c>
      <c r="I9" s="35" t="s">
        <v>61</v>
      </c>
      <c r="J9" s="36">
        <v>1</v>
      </c>
      <c r="K9" s="56" t="s">
        <v>62</v>
      </c>
      <c r="L9" s="37" t="s">
        <v>49</v>
      </c>
      <c r="M9" s="38"/>
      <c r="N9" s="39"/>
    </row>
    <row r="10" spans="1:14" ht="25.5" customHeight="1">
      <c r="A10" s="29">
        <v>8</v>
      </c>
      <c r="B10" s="29">
        <v>2024</v>
      </c>
      <c r="C10" s="30">
        <v>42</v>
      </c>
      <c r="D10" s="31">
        <v>45580</v>
      </c>
      <c r="E10" s="32" t="s">
        <v>43</v>
      </c>
      <c r="F10" s="33" t="s">
        <v>44</v>
      </c>
      <c r="G10" s="33" t="s">
        <v>45</v>
      </c>
      <c r="H10" s="34" t="s">
        <v>46</v>
      </c>
      <c r="I10" s="35" t="s">
        <v>63</v>
      </c>
      <c r="J10" s="36">
        <v>1</v>
      </c>
      <c r="K10" s="56" t="s">
        <v>64</v>
      </c>
      <c r="L10" s="37" t="s">
        <v>49</v>
      </c>
      <c r="M10" s="38"/>
      <c r="N10" s="39"/>
    </row>
    <row r="11" spans="1:14" ht="25.5" customHeight="1">
      <c r="A11" s="29">
        <v>9</v>
      </c>
      <c r="B11" s="29">
        <v>2024</v>
      </c>
      <c r="C11" s="30">
        <v>42</v>
      </c>
      <c r="D11" s="31">
        <v>45580</v>
      </c>
      <c r="E11" s="32" t="s">
        <v>43</v>
      </c>
      <c r="F11" s="33" t="s">
        <v>44</v>
      </c>
      <c r="G11" s="33" t="s">
        <v>45</v>
      </c>
      <c r="H11" s="34" t="s">
        <v>46</v>
      </c>
      <c r="I11" s="35" t="s">
        <v>65</v>
      </c>
      <c r="J11" s="36">
        <v>1</v>
      </c>
      <c r="K11" s="56" t="s">
        <v>66</v>
      </c>
      <c r="L11" s="37" t="s">
        <v>49</v>
      </c>
      <c r="M11" s="38"/>
      <c r="N11" s="39"/>
    </row>
    <row r="12" spans="1:14" ht="25.5" customHeight="1">
      <c r="A12" s="29">
        <v>10</v>
      </c>
      <c r="B12" s="29">
        <v>2024</v>
      </c>
      <c r="C12" s="30">
        <v>42</v>
      </c>
      <c r="D12" s="31">
        <v>45582</v>
      </c>
      <c r="E12" s="32" t="s">
        <v>43</v>
      </c>
      <c r="F12" s="33" t="s">
        <v>44</v>
      </c>
      <c r="G12" s="33" t="s">
        <v>45</v>
      </c>
      <c r="H12" s="34" t="s">
        <v>50</v>
      </c>
      <c r="I12" s="35" t="s">
        <v>67</v>
      </c>
      <c r="J12" s="36">
        <v>1</v>
      </c>
      <c r="K12" s="56" t="s">
        <v>68</v>
      </c>
      <c r="L12" s="37" t="s">
        <v>49</v>
      </c>
      <c r="M12" s="38"/>
      <c r="N12" s="39"/>
    </row>
    <row r="13" spans="1:14" ht="25.5" customHeight="1">
      <c r="A13" s="29">
        <v>11</v>
      </c>
      <c r="B13" s="29">
        <v>2024</v>
      </c>
      <c r="C13" s="30">
        <v>42</v>
      </c>
      <c r="D13" s="31">
        <v>45581</v>
      </c>
      <c r="E13" s="32" t="s">
        <v>43</v>
      </c>
      <c r="F13" s="33" t="s">
        <v>57</v>
      </c>
      <c r="G13" s="33" t="s">
        <v>69</v>
      </c>
      <c r="H13" s="34" t="s">
        <v>70</v>
      </c>
      <c r="I13" s="35" t="s">
        <v>71</v>
      </c>
      <c r="J13" s="36">
        <v>1</v>
      </c>
      <c r="K13" s="56" t="s">
        <v>72</v>
      </c>
      <c r="L13" s="37" t="s">
        <v>49</v>
      </c>
      <c r="M13" s="38"/>
      <c r="N13" s="39"/>
    </row>
    <row r="14" spans="1:14" ht="25.5" customHeight="1">
      <c r="A14" s="29">
        <v>12</v>
      </c>
      <c r="B14" s="29">
        <v>2024</v>
      </c>
      <c r="C14" s="30">
        <v>43</v>
      </c>
      <c r="D14" s="31">
        <v>45589</v>
      </c>
      <c r="E14" s="32" t="s">
        <v>43</v>
      </c>
      <c r="F14" s="33" t="s">
        <v>57</v>
      </c>
      <c r="G14" s="33" t="s">
        <v>69</v>
      </c>
      <c r="H14" s="44" t="s">
        <v>73</v>
      </c>
      <c r="I14" s="35" t="s">
        <v>74</v>
      </c>
      <c r="J14" s="42">
        <v>5</v>
      </c>
      <c r="K14" s="43" t="s">
        <v>75</v>
      </c>
      <c r="L14" s="37" t="s">
        <v>60</v>
      </c>
      <c r="M14" s="38"/>
      <c r="N14" s="39"/>
    </row>
    <row r="15" spans="1:14" ht="25.5" customHeight="1">
      <c r="A15" s="29">
        <v>13</v>
      </c>
      <c r="B15" s="29">
        <v>2024</v>
      </c>
      <c r="C15" s="30">
        <v>43</v>
      </c>
      <c r="D15" s="31">
        <v>45586</v>
      </c>
      <c r="E15" s="32" t="s">
        <v>43</v>
      </c>
      <c r="F15" s="33" t="s">
        <v>44</v>
      </c>
      <c r="G15" s="33" t="s">
        <v>45</v>
      </c>
      <c r="H15" s="34" t="s">
        <v>50</v>
      </c>
      <c r="I15" s="35" t="s">
        <v>76</v>
      </c>
      <c r="J15" s="36">
        <v>1</v>
      </c>
      <c r="K15" s="56" t="s">
        <v>77</v>
      </c>
      <c r="L15" s="37" t="s">
        <v>49</v>
      </c>
      <c r="M15" s="38"/>
      <c r="N15" s="39"/>
    </row>
    <row r="16" spans="1:14" ht="25.5" customHeight="1">
      <c r="A16" s="29">
        <v>14</v>
      </c>
      <c r="B16" s="29">
        <v>2024</v>
      </c>
      <c r="C16" s="30">
        <v>43</v>
      </c>
      <c r="D16" s="31">
        <v>45586</v>
      </c>
      <c r="E16" s="32" t="s">
        <v>43</v>
      </c>
      <c r="F16" s="33" t="s">
        <v>44</v>
      </c>
      <c r="G16" s="33" t="s">
        <v>45</v>
      </c>
      <c r="H16" s="34" t="s">
        <v>50</v>
      </c>
      <c r="I16" s="35" t="s">
        <v>78</v>
      </c>
      <c r="J16" s="36">
        <v>1</v>
      </c>
      <c r="K16" s="56" t="s">
        <v>79</v>
      </c>
      <c r="L16" s="37" t="s">
        <v>49</v>
      </c>
      <c r="M16" s="38"/>
      <c r="N16" s="39"/>
    </row>
    <row r="17" spans="1:14" ht="25.5" customHeight="1">
      <c r="A17" s="29">
        <v>15</v>
      </c>
      <c r="B17" s="29">
        <v>2024</v>
      </c>
      <c r="C17" s="30">
        <v>43</v>
      </c>
      <c r="D17" s="31">
        <v>45588</v>
      </c>
      <c r="E17" s="32" t="s">
        <v>43</v>
      </c>
      <c r="F17" s="33" t="s">
        <v>44</v>
      </c>
      <c r="G17" s="33" t="s">
        <v>45</v>
      </c>
      <c r="H17" s="34" t="s">
        <v>50</v>
      </c>
      <c r="I17" s="35" t="s">
        <v>80</v>
      </c>
      <c r="J17" s="36">
        <v>1</v>
      </c>
      <c r="K17" s="56" t="s">
        <v>81</v>
      </c>
      <c r="L17" s="37" t="s">
        <v>49</v>
      </c>
      <c r="M17" s="38"/>
      <c r="N17" s="39"/>
    </row>
    <row r="18" spans="1:14" ht="25.5" customHeight="1">
      <c r="A18" s="29">
        <v>16</v>
      </c>
      <c r="B18" s="29">
        <v>2024</v>
      </c>
      <c r="C18" s="30">
        <v>43</v>
      </c>
      <c r="D18" s="31">
        <v>45588</v>
      </c>
      <c r="E18" s="32" t="s">
        <v>43</v>
      </c>
      <c r="F18" s="33" t="s">
        <v>44</v>
      </c>
      <c r="G18" s="33" t="s">
        <v>45</v>
      </c>
      <c r="H18" s="34" t="s">
        <v>46</v>
      </c>
      <c r="I18" s="35" t="s">
        <v>82</v>
      </c>
      <c r="J18" s="36">
        <v>1</v>
      </c>
      <c r="K18" s="56" t="s">
        <v>83</v>
      </c>
      <c r="L18" s="37" t="s">
        <v>49</v>
      </c>
      <c r="M18" s="38"/>
      <c r="N18" s="39"/>
    </row>
    <row r="19" spans="1:14" ht="25.5" customHeight="1">
      <c r="A19" s="29">
        <v>17</v>
      </c>
      <c r="B19" s="29">
        <v>2024</v>
      </c>
      <c r="C19" s="30">
        <v>43</v>
      </c>
      <c r="D19" s="31">
        <v>45591</v>
      </c>
      <c r="E19" s="32" t="s">
        <v>43</v>
      </c>
      <c r="F19" s="33" t="s">
        <v>44</v>
      </c>
      <c r="G19" s="33" t="s">
        <v>45</v>
      </c>
      <c r="H19" s="34" t="s">
        <v>46</v>
      </c>
      <c r="I19" s="35" t="s">
        <v>84</v>
      </c>
      <c r="J19" s="36">
        <v>1</v>
      </c>
      <c r="K19" s="56" t="s">
        <v>85</v>
      </c>
      <c r="L19" s="37" t="s">
        <v>49</v>
      </c>
      <c r="M19" s="38"/>
      <c r="N19" s="39"/>
    </row>
    <row r="20" spans="1:14" ht="25.5" customHeight="1">
      <c r="A20" s="29">
        <v>18</v>
      </c>
      <c r="B20" s="29">
        <v>2024</v>
      </c>
      <c r="C20" s="30">
        <v>43</v>
      </c>
      <c r="D20" s="31">
        <v>45591</v>
      </c>
      <c r="E20" s="32" t="s">
        <v>43</v>
      </c>
      <c r="F20" s="33" t="s">
        <v>44</v>
      </c>
      <c r="G20" s="33" t="s">
        <v>45</v>
      </c>
      <c r="H20" s="34" t="s">
        <v>46</v>
      </c>
      <c r="I20" s="35" t="s">
        <v>86</v>
      </c>
      <c r="J20" s="36">
        <v>1</v>
      </c>
      <c r="K20" s="56" t="s">
        <v>87</v>
      </c>
      <c r="L20" s="37" t="s">
        <v>49</v>
      </c>
      <c r="M20" s="38"/>
      <c r="N20" s="39"/>
    </row>
    <row r="21" spans="1:14" ht="25.5" customHeight="1">
      <c r="A21" s="29">
        <v>19</v>
      </c>
      <c r="B21" s="29">
        <v>2024</v>
      </c>
      <c r="C21" s="30">
        <v>44</v>
      </c>
      <c r="D21" s="31">
        <v>45596</v>
      </c>
      <c r="E21" s="32" t="s">
        <v>43</v>
      </c>
      <c r="F21" s="33" t="s">
        <v>44</v>
      </c>
      <c r="G21" s="33" t="s">
        <v>45</v>
      </c>
      <c r="H21" s="34" t="s">
        <v>50</v>
      </c>
      <c r="I21" s="35" t="s">
        <v>88</v>
      </c>
      <c r="J21" s="36">
        <v>1</v>
      </c>
      <c r="K21" s="56" t="s">
        <v>89</v>
      </c>
      <c r="L21" s="37" t="s">
        <v>49</v>
      </c>
      <c r="M21" s="38"/>
      <c r="N21" s="39"/>
    </row>
    <row r="22" spans="1:14" ht="25.5" customHeight="1">
      <c r="A22" s="29">
        <v>20</v>
      </c>
      <c r="B22" s="29">
        <v>2024</v>
      </c>
      <c r="C22" s="30">
        <v>44</v>
      </c>
      <c r="D22" s="31">
        <v>45598</v>
      </c>
      <c r="E22" s="32" t="s">
        <v>43</v>
      </c>
      <c r="F22" s="33" t="s">
        <v>44</v>
      </c>
      <c r="G22" s="33" t="s">
        <v>45</v>
      </c>
      <c r="H22" s="34" t="s">
        <v>50</v>
      </c>
      <c r="I22" s="35" t="s">
        <v>90</v>
      </c>
      <c r="J22" s="36">
        <v>1</v>
      </c>
      <c r="K22" s="56" t="s">
        <v>91</v>
      </c>
      <c r="L22" s="37" t="s">
        <v>49</v>
      </c>
      <c r="M22" s="38"/>
      <c r="N22" s="39"/>
    </row>
    <row r="23" spans="1:14" ht="25.5" customHeight="1">
      <c r="A23" s="29">
        <v>21</v>
      </c>
      <c r="B23" s="29">
        <v>2024</v>
      </c>
      <c r="C23" s="30">
        <v>45</v>
      </c>
      <c r="D23" s="31">
        <v>45602</v>
      </c>
      <c r="E23" s="32" t="s">
        <v>43</v>
      </c>
      <c r="F23" s="33" t="s">
        <v>57</v>
      </c>
      <c r="G23" s="33" t="s">
        <v>92</v>
      </c>
      <c r="H23" s="45" t="s">
        <v>93</v>
      </c>
      <c r="I23" s="35" t="s">
        <v>95</v>
      </c>
      <c r="J23" s="42">
        <v>14</v>
      </c>
      <c r="K23" s="43" t="s">
        <v>94</v>
      </c>
      <c r="L23" s="37" t="s">
        <v>60</v>
      </c>
      <c r="M23" s="38"/>
      <c r="N23" s="39"/>
    </row>
    <row r="24" spans="1:14" ht="25.5" customHeight="1">
      <c r="A24" s="29">
        <v>22</v>
      </c>
      <c r="B24" s="29">
        <v>2024</v>
      </c>
      <c r="C24" s="30">
        <v>45</v>
      </c>
      <c r="D24" s="31">
        <v>45600</v>
      </c>
      <c r="E24" s="32" t="s">
        <v>43</v>
      </c>
      <c r="F24" s="33" t="s">
        <v>44</v>
      </c>
      <c r="G24" s="33" t="s">
        <v>45</v>
      </c>
      <c r="H24" s="34" t="s">
        <v>50</v>
      </c>
      <c r="I24" s="35" t="s">
        <v>96</v>
      </c>
      <c r="J24" s="36">
        <v>1</v>
      </c>
      <c r="K24" s="56" t="s">
        <v>97</v>
      </c>
      <c r="L24" s="37" t="s">
        <v>49</v>
      </c>
      <c r="M24" s="38"/>
      <c r="N24" s="39"/>
    </row>
    <row r="25" spans="1:14" ht="25.5" customHeight="1">
      <c r="A25" s="29">
        <v>23</v>
      </c>
      <c r="B25" s="29">
        <v>2024</v>
      </c>
      <c r="C25" s="30">
        <v>45</v>
      </c>
      <c r="D25" s="31">
        <v>45601</v>
      </c>
      <c r="E25" s="32" t="s">
        <v>43</v>
      </c>
      <c r="F25" s="33" t="s">
        <v>44</v>
      </c>
      <c r="G25" s="33" t="s">
        <v>45</v>
      </c>
      <c r="H25" s="34" t="s">
        <v>50</v>
      </c>
      <c r="I25" s="35" t="s">
        <v>98</v>
      </c>
      <c r="J25" s="36">
        <v>1</v>
      </c>
      <c r="K25" s="56" t="s">
        <v>99</v>
      </c>
      <c r="L25" s="37" t="s">
        <v>49</v>
      </c>
      <c r="M25" s="38"/>
      <c r="N25" s="39"/>
    </row>
    <row r="26" spans="1:14" ht="25.5" customHeight="1">
      <c r="A26" s="29">
        <v>24</v>
      </c>
      <c r="B26" s="29">
        <v>2024</v>
      </c>
      <c r="C26" s="30">
        <v>45</v>
      </c>
      <c r="D26" s="31">
        <v>45601</v>
      </c>
      <c r="E26" s="32" t="s">
        <v>43</v>
      </c>
      <c r="F26" s="33" t="s">
        <v>44</v>
      </c>
      <c r="G26" s="33" t="s">
        <v>45</v>
      </c>
      <c r="H26" s="34" t="s">
        <v>46</v>
      </c>
      <c r="I26" s="35" t="s">
        <v>100</v>
      </c>
      <c r="J26" s="36">
        <v>1</v>
      </c>
      <c r="K26" s="56" t="s">
        <v>101</v>
      </c>
      <c r="L26" s="37" t="s">
        <v>49</v>
      </c>
      <c r="M26" s="38"/>
      <c r="N26" s="39"/>
    </row>
    <row r="27" spans="1:14" ht="25.5" customHeight="1">
      <c r="A27" s="29">
        <v>25</v>
      </c>
      <c r="B27" s="29">
        <v>2024</v>
      </c>
      <c r="C27" s="30">
        <v>45</v>
      </c>
      <c r="D27" s="31">
        <v>45603</v>
      </c>
      <c r="E27" s="32" t="s">
        <v>43</v>
      </c>
      <c r="F27" s="33" t="s">
        <v>44</v>
      </c>
      <c r="G27" s="33" t="s">
        <v>45</v>
      </c>
      <c r="H27" s="34" t="s">
        <v>46</v>
      </c>
      <c r="I27" s="35" t="s">
        <v>102</v>
      </c>
      <c r="J27" s="36">
        <v>1</v>
      </c>
      <c r="K27" s="56" t="s">
        <v>103</v>
      </c>
      <c r="L27" s="37" t="s">
        <v>49</v>
      </c>
      <c r="M27" s="38"/>
      <c r="N27" s="39"/>
    </row>
    <row r="28" spans="1:14" ht="25.5" customHeight="1">
      <c r="A28" s="29">
        <v>26</v>
      </c>
      <c r="B28" s="29">
        <v>2024</v>
      </c>
      <c r="C28" s="30">
        <v>45</v>
      </c>
      <c r="D28" s="31">
        <v>45604</v>
      </c>
      <c r="E28" s="32" t="s">
        <v>43</v>
      </c>
      <c r="F28" s="33" t="s">
        <v>44</v>
      </c>
      <c r="G28" s="33" t="s">
        <v>45</v>
      </c>
      <c r="H28" s="34" t="s">
        <v>46</v>
      </c>
      <c r="I28" s="35" t="s">
        <v>104</v>
      </c>
      <c r="J28" s="36">
        <v>1</v>
      </c>
      <c r="K28" s="56" t="s">
        <v>103</v>
      </c>
      <c r="L28" s="37" t="s">
        <v>49</v>
      </c>
      <c r="M28" s="38"/>
      <c r="N28" s="39"/>
    </row>
    <row r="29" spans="1:14" ht="25.5" customHeight="1">
      <c r="A29" s="29">
        <v>27</v>
      </c>
      <c r="B29" s="29">
        <v>2024</v>
      </c>
      <c r="C29" s="30">
        <v>46</v>
      </c>
      <c r="D29" s="31">
        <v>45610</v>
      </c>
      <c r="E29" s="32" t="s">
        <v>43</v>
      </c>
      <c r="F29" s="33" t="s">
        <v>44</v>
      </c>
      <c r="G29" s="33" t="s">
        <v>45</v>
      </c>
      <c r="H29" s="34" t="s">
        <v>50</v>
      </c>
      <c r="I29" s="35" t="s">
        <v>105</v>
      </c>
      <c r="J29" s="36">
        <v>1</v>
      </c>
      <c r="K29" s="56" t="s">
        <v>106</v>
      </c>
      <c r="L29" s="37" t="s">
        <v>49</v>
      </c>
      <c r="M29" s="38"/>
      <c r="N29" s="39"/>
    </row>
    <row r="30" spans="1:14" ht="25.5" customHeight="1">
      <c r="A30" s="29">
        <v>28</v>
      </c>
      <c r="B30" s="29">
        <v>2024</v>
      </c>
      <c r="C30" s="30">
        <v>46</v>
      </c>
      <c r="D30" s="31">
        <v>45610</v>
      </c>
      <c r="E30" s="32" t="s">
        <v>43</v>
      </c>
      <c r="F30" s="33" t="s">
        <v>44</v>
      </c>
      <c r="G30" s="33" t="s">
        <v>45</v>
      </c>
      <c r="H30" s="34" t="s">
        <v>50</v>
      </c>
      <c r="I30" s="35" t="s">
        <v>107</v>
      </c>
      <c r="J30" s="36">
        <v>1</v>
      </c>
      <c r="K30" s="56" t="s">
        <v>108</v>
      </c>
      <c r="L30" s="37" t="s">
        <v>49</v>
      </c>
      <c r="M30" s="38"/>
      <c r="N30" s="39"/>
    </row>
    <row r="31" spans="1:14" ht="25.5" customHeight="1">
      <c r="A31" s="29">
        <v>29</v>
      </c>
      <c r="B31" s="29">
        <v>2024</v>
      </c>
      <c r="C31" s="30">
        <v>46</v>
      </c>
      <c r="D31" s="31">
        <v>45610</v>
      </c>
      <c r="E31" s="32" t="s">
        <v>43</v>
      </c>
      <c r="F31" s="33" t="s">
        <v>44</v>
      </c>
      <c r="G31" s="33" t="s">
        <v>45</v>
      </c>
      <c r="H31" s="34" t="s">
        <v>46</v>
      </c>
      <c r="I31" s="35" t="s">
        <v>109</v>
      </c>
      <c r="J31" s="36">
        <v>1</v>
      </c>
      <c r="K31" s="56" t="s">
        <v>110</v>
      </c>
      <c r="L31" s="37" t="s">
        <v>49</v>
      </c>
      <c r="M31" s="38"/>
      <c r="N31" s="39"/>
    </row>
    <row r="32" spans="1:14" ht="25.5" customHeight="1">
      <c r="A32" s="29">
        <v>30</v>
      </c>
      <c r="B32" s="29">
        <v>2024</v>
      </c>
      <c r="C32" s="30">
        <v>46</v>
      </c>
      <c r="D32" s="31">
        <v>45610</v>
      </c>
      <c r="E32" s="32" t="s">
        <v>43</v>
      </c>
      <c r="F32" s="33" t="s">
        <v>44</v>
      </c>
      <c r="G32" s="33" t="s">
        <v>45</v>
      </c>
      <c r="H32" s="34" t="s">
        <v>46</v>
      </c>
      <c r="I32" s="35" t="s">
        <v>111</v>
      </c>
      <c r="J32" s="36">
        <v>1</v>
      </c>
      <c r="K32" s="56" t="s">
        <v>112</v>
      </c>
      <c r="L32" s="37" t="s">
        <v>49</v>
      </c>
      <c r="M32" s="38"/>
      <c r="N32" s="39"/>
    </row>
    <row r="33" spans="1:14" ht="25.5" customHeight="1">
      <c r="A33" s="29">
        <v>31</v>
      </c>
      <c r="B33" s="29">
        <v>2024</v>
      </c>
      <c r="C33" s="30">
        <v>47</v>
      </c>
      <c r="D33" s="31">
        <v>45615</v>
      </c>
      <c r="E33" s="32" t="s">
        <v>43</v>
      </c>
      <c r="F33" s="33" t="s">
        <v>44</v>
      </c>
      <c r="G33" s="33" t="s">
        <v>45</v>
      </c>
      <c r="H33" s="34" t="s">
        <v>46</v>
      </c>
      <c r="I33" s="35" t="s">
        <v>113</v>
      </c>
      <c r="J33" s="42">
        <v>1</v>
      </c>
      <c r="K33" s="43" t="s">
        <v>114</v>
      </c>
      <c r="L33" s="37" t="s">
        <v>60</v>
      </c>
      <c r="M33" s="38"/>
      <c r="N33" s="39"/>
    </row>
    <row r="34" spans="1:14" ht="25.5" customHeight="1">
      <c r="A34" s="29">
        <v>32</v>
      </c>
      <c r="B34" s="29">
        <v>2024</v>
      </c>
      <c r="C34" s="30">
        <v>47</v>
      </c>
      <c r="D34" s="31">
        <v>45618</v>
      </c>
      <c r="E34" s="32" t="s">
        <v>43</v>
      </c>
      <c r="F34" s="33" t="s">
        <v>44</v>
      </c>
      <c r="G34" s="33" t="s">
        <v>45</v>
      </c>
      <c r="H34" s="34" t="s">
        <v>46</v>
      </c>
      <c r="I34" s="35" t="s">
        <v>115</v>
      </c>
      <c r="J34" s="42">
        <v>1</v>
      </c>
      <c r="K34" s="56" t="s">
        <v>116</v>
      </c>
      <c r="L34" s="37" t="s">
        <v>49</v>
      </c>
      <c r="M34" s="38"/>
      <c r="N34" s="39"/>
    </row>
    <row r="35" spans="1:14" ht="25.5" customHeight="1">
      <c r="A35" s="29">
        <v>33</v>
      </c>
      <c r="B35" s="29">
        <v>2024</v>
      </c>
      <c r="C35" s="30">
        <v>48</v>
      </c>
      <c r="D35" s="31">
        <v>45622</v>
      </c>
      <c r="E35" s="32" t="s">
        <v>43</v>
      </c>
      <c r="F35" s="33" t="s">
        <v>44</v>
      </c>
      <c r="G35" s="33" t="s">
        <v>45</v>
      </c>
      <c r="H35" s="34" t="s">
        <v>46</v>
      </c>
      <c r="I35" s="35" t="s">
        <v>117</v>
      </c>
      <c r="J35" s="42">
        <v>1</v>
      </c>
      <c r="K35" s="43" t="s">
        <v>114</v>
      </c>
      <c r="L35" s="37" t="s">
        <v>60</v>
      </c>
      <c r="M35" s="38"/>
      <c r="N35" s="39"/>
    </row>
    <row r="36" spans="1:14" ht="25.5" customHeight="1">
      <c r="A36" s="29">
        <v>34</v>
      </c>
      <c r="B36" s="29">
        <v>2024</v>
      </c>
      <c r="C36" s="30">
        <v>50</v>
      </c>
      <c r="D36" s="31">
        <v>45638</v>
      </c>
      <c r="E36" s="32" t="s">
        <v>43</v>
      </c>
      <c r="F36" s="33" t="s">
        <v>118</v>
      </c>
      <c r="G36" s="33" t="s">
        <v>45</v>
      </c>
      <c r="H36" s="34" t="s">
        <v>119</v>
      </c>
      <c r="I36" s="35" t="s">
        <v>120</v>
      </c>
      <c r="J36" s="42">
        <v>8</v>
      </c>
      <c r="K36" s="43" t="s">
        <v>121</v>
      </c>
      <c r="L36" s="37" t="s">
        <v>60</v>
      </c>
      <c r="M36" s="38"/>
      <c r="N36" s="39"/>
    </row>
    <row r="37" spans="1:14" ht="25.5" customHeight="1">
      <c r="A37" s="29">
        <v>35</v>
      </c>
      <c r="B37" s="29">
        <v>2024</v>
      </c>
      <c r="C37" s="30">
        <v>50</v>
      </c>
      <c r="D37" s="31">
        <v>45631</v>
      </c>
      <c r="E37" s="32" t="s">
        <v>43</v>
      </c>
      <c r="F37" s="33" t="s">
        <v>44</v>
      </c>
      <c r="G37" s="33" t="s">
        <v>45</v>
      </c>
      <c r="H37" s="34" t="s">
        <v>50</v>
      </c>
      <c r="I37" s="35" t="s">
        <v>122</v>
      </c>
      <c r="J37" s="42">
        <v>1</v>
      </c>
      <c r="K37" s="57" t="s">
        <v>123</v>
      </c>
      <c r="L37" s="37" t="s">
        <v>49</v>
      </c>
      <c r="M37" s="38"/>
      <c r="N37" s="39"/>
    </row>
    <row r="38" spans="1:14" ht="25.5" customHeight="1">
      <c r="A38" s="29">
        <v>36</v>
      </c>
      <c r="B38" s="29">
        <v>2024</v>
      </c>
      <c r="C38" s="30">
        <v>50</v>
      </c>
      <c r="D38" s="31">
        <v>45631</v>
      </c>
      <c r="E38" s="32" t="s">
        <v>43</v>
      </c>
      <c r="F38" s="33" t="s">
        <v>44</v>
      </c>
      <c r="G38" s="33" t="s">
        <v>45</v>
      </c>
      <c r="H38" s="34" t="s">
        <v>50</v>
      </c>
      <c r="I38" s="35" t="s">
        <v>124</v>
      </c>
      <c r="J38" s="42">
        <v>1</v>
      </c>
      <c r="K38" s="56" t="s">
        <v>125</v>
      </c>
      <c r="L38" s="37" t="s">
        <v>49</v>
      </c>
      <c r="M38" s="38"/>
      <c r="N38" s="39"/>
    </row>
    <row r="39" spans="1:14" ht="25.5" customHeight="1">
      <c r="A39" s="29">
        <v>37</v>
      </c>
      <c r="B39" s="29">
        <v>2024</v>
      </c>
      <c r="C39" s="36">
        <v>52</v>
      </c>
      <c r="D39" s="31">
        <v>45653</v>
      </c>
      <c r="E39" s="32" t="s">
        <v>43</v>
      </c>
      <c r="F39" s="33" t="s">
        <v>44</v>
      </c>
      <c r="G39" s="33" t="s">
        <v>45</v>
      </c>
      <c r="H39" s="39" t="s">
        <v>126</v>
      </c>
      <c r="I39" s="39" t="s">
        <v>127</v>
      </c>
      <c r="J39" s="42">
        <v>1</v>
      </c>
      <c r="K39" s="47" t="s">
        <v>128</v>
      </c>
      <c r="L39" s="39" t="s">
        <v>60</v>
      </c>
      <c r="M39" s="39"/>
      <c r="N39" s="39"/>
    </row>
    <row r="40" spans="1:14" ht="25.5" customHeight="1">
      <c r="A40" s="29">
        <v>38</v>
      </c>
      <c r="B40" s="29">
        <v>2025</v>
      </c>
      <c r="C40" s="36">
        <v>2</v>
      </c>
      <c r="D40" s="31">
        <v>45666</v>
      </c>
      <c r="E40" s="32" t="s">
        <v>43</v>
      </c>
      <c r="F40" s="48" t="s">
        <v>118</v>
      </c>
      <c r="G40" s="33" t="s">
        <v>45</v>
      </c>
      <c r="H40" s="39" t="s">
        <v>119</v>
      </c>
      <c r="I40" s="37" t="s">
        <v>170</v>
      </c>
      <c r="J40" s="107">
        <v>20</v>
      </c>
      <c r="K40" s="51" t="s">
        <v>169</v>
      </c>
      <c r="L40" s="39" t="s">
        <v>60</v>
      </c>
      <c r="M40" s="39"/>
      <c r="N40" s="39"/>
    </row>
    <row r="41" spans="1:14" ht="25.5" customHeight="1">
      <c r="A41" s="29">
        <v>39</v>
      </c>
      <c r="B41" s="29">
        <v>2025</v>
      </c>
      <c r="C41" s="36">
        <v>3</v>
      </c>
      <c r="D41" s="31">
        <v>45666</v>
      </c>
      <c r="E41" s="32" t="s">
        <v>43</v>
      </c>
      <c r="F41" s="48" t="s">
        <v>118</v>
      </c>
      <c r="G41" s="33" t="s">
        <v>45</v>
      </c>
      <c r="H41" s="39" t="s">
        <v>119</v>
      </c>
      <c r="I41" s="49" t="s">
        <v>171</v>
      </c>
      <c r="J41" s="107">
        <v>16</v>
      </c>
      <c r="K41" s="51" t="s">
        <v>172</v>
      </c>
      <c r="L41" s="39" t="s">
        <v>60</v>
      </c>
      <c r="M41" s="39"/>
      <c r="N41" s="39"/>
    </row>
    <row r="42" spans="1:14" ht="25.5" customHeight="1">
      <c r="A42" s="29">
        <v>40</v>
      </c>
      <c r="B42" s="29">
        <v>2025</v>
      </c>
      <c r="C42" s="36">
        <v>5</v>
      </c>
      <c r="D42" s="31">
        <v>45685</v>
      </c>
      <c r="E42" s="32" t="s">
        <v>43</v>
      </c>
      <c r="F42" s="33" t="s">
        <v>44</v>
      </c>
      <c r="G42" s="33" t="s">
        <v>45</v>
      </c>
      <c r="H42" s="39" t="s">
        <v>174</v>
      </c>
      <c r="I42" s="50" t="s">
        <v>173</v>
      </c>
      <c r="J42" s="107">
        <v>50</v>
      </c>
      <c r="K42" s="51" t="s">
        <v>175</v>
      </c>
      <c r="L42" s="39" t="s">
        <v>60</v>
      </c>
      <c r="M42" s="39"/>
      <c r="N42" s="39"/>
    </row>
    <row r="43" spans="1:14" ht="25.5" customHeight="1">
      <c r="A43" s="29">
        <v>41</v>
      </c>
      <c r="B43" s="29">
        <v>2025</v>
      </c>
      <c r="C43" s="36">
        <v>6</v>
      </c>
      <c r="D43" s="31">
        <v>45692</v>
      </c>
      <c r="E43" s="32" t="s">
        <v>43</v>
      </c>
      <c r="F43" s="48" t="s">
        <v>44</v>
      </c>
      <c r="G43" s="33" t="s">
        <v>45</v>
      </c>
      <c r="H43" s="39" t="s">
        <v>50</v>
      </c>
      <c r="I43" s="52" t="s">
        <v>176</v>
      </c>
      <c r="J43" s="48">
        <v>10</v>
      </c>
      <c r="K43" s="51" t="s">
        <v>177</v>
      </c>
      <c r="L43" s="39" t="s">
        <v>49</v>
      </c>
      <c r="M43" s="39"/>
      <c r="N43" s="39"/>
    </row>
    <row r="44" spans="1:14" ht="25.5" customHeight="1">
      <c r="A44" s="29">
        <v>42</v>
      </c>
      <c r="B44" s="29">
        <v>2025</v>
      </c>
      <c r="C44" s="36">
        <v>6</v>
      </c>
      <c r="D44" s="31">
        <v>45692</v>
      </c>
      <c r="E44" s="32" t="s">
        <v>43</v>
      </c>
      <c r="F44" s="48" t="s">
        <v>44</v>
      </c>
      <c r="G44" s="33" t="s">
        <v>45</v>
      </c>
      <c r="H44" s="39" t="s">
        <v>50</v>
      </c>
      <c r="I44" s="52" t="s">
        <v>178</v>
      </c>
      <c r="J44" s="48">
        <v>3</v>
      </c>
      <c r="K44" s="53" t="s">
        <v>179</v>
      </c>
      <c r="L44" s="39" t="s">
        <v>49</v>
      </c>
      <c r="M44" s="39"/>
      <c r="N44" s="39"/>
    </row>
    <row r="45" spans="1:14" ht="25.5" customHeight="1">
      <c r="A45" s="29">
        <v>43</v>
      </c>
      <c r="B45" s="29">
        <v>2025</v>
      </c>
      <c r="C45" s="36">
        <v>6</v>
      </c>
      <c r="D45" s="31">
        <v>45693</v>
      </c>
      <c r="E45" s="32" t="s">
        <v>43</v>
      </c>
      <c r="F45" s="48" t="s">
        <v>44</v>
      </c>
      <c r="G45" s="33" t="s">
        <v>45</v>
      </c>
      <c r="H45" s="39" t="s">
        <v>50</v>
      </c>
      <c r="I45" s="52" t="s">
        <v>180</v>
      </c>
      <c r="J45" s="48" t="s">
        <v>181</v>
      </c>
      <c r="K45" s="53" t="s">
        <v>182</v>
      </c>
      <c r="L45" s="39" t="s">
        <v>49</v>
      </c>
      <c r="M45" s="39"/>
      <c r="N45" s="39"/>
    </row>
    <row r="46" spans="1:14" ht="25.5" customHeight="1">
      <c r="A46" s="29">
        <v>44</v>
      </c>
      <c r="B46" s="29">
        <v>2025</v>
      </c>
      <c r="C46" s="36">
        <v>6</v>
      </c>
      <c r="D46" s="31">
        <v>45693</v>
      </c>
      <c r="E46" s="32" t="s">
        <v>43</v>
      </c>
      <c r="F46" s="48" t="s">
        <v>44</v>
      </c>
      <c r="G46" s="33" t="s">
        <v>45</v>
      </c>
      <c r="H46" s="39" t="s">
        <v>46</v>
      </c>
      <c r="I46" s="52" t="s">
        <v>183</v>
      </c>
      <c r="J46" s="48" t="s">
        <v>184</v>
      </c>
      <c r="K46" s="53" t="s">
        <v>185</v>
      </c>
      <c r="L46" s="39" t="s">
        <v>49</v>
      </c>
      <c r="M46" s="39"/>
      <c r="N46" s="39"/>
    </row>
    <row r="47" spans="1:14" ht="25.5" customHeight="1">
      <c r="A47" s="29">
        <v>45</v>
      </c>
      <c r="B47" s="29">
        <v>2025</v>
      </c>
      <c r="C47" s="36">
        <v>7</v>
      </c>
      <c r="D47" s="31">
        <v>45702</v>
      </c>
      <c r="E47" s="32" t="s">
        <v>43</v>
      </c>
      <c r="F47" s="33" t="s">
        <v>189</v>
      </c>
      <c r="G47" s="33" t="s">
        <v>92</v>
      </c>
      <c r="H47" s="39" t="s">
        <v>188</v>
      </c>
      <c r="I47" s="54" t="s">
        <v>186</v>
      </c>
      <c r="J47" s="48" t="s">
        <v>460</v>
      </c>
      <c r="K47" s="51" t="s">
        <v>187</v>
      </c>
      <c r="L47" s="39" t="s">
        <v>60</v>
      </c>
      <c r="M47" s="39"/>
      <c r="N47" s="39"/>
    </row>
    <row r="48" spans="1:14" ht="25.5" customHeight="1">
      <c r="A48" s="29">
        <v>46</v>
      </c>
      <c r="B48" s="29">
        <v>2025</v>
      </c>
      <c r="C48" s="36">
        <v>7</v>
      </c>
      <c r="D48" s="31">
        <v>45700</v>
      </c>
      <c r="E48" s="32" t="s">
        <v>43</v>
      </c>
      <c r="F48" s="33" t="s">
        <v>44</v>
      </c>
      <c r="G48" s="33" t="s">
        <v>45</v>
      </c>
      <c r="H48" s="39" t="s">
        <v>46</v>
      </c>
      <c r="I48" s="39" t="s">
        <v>190</v>
      </c>
      <c r="J48" s="55">
        <v>1</v>
      </c>
      <c r="K48" s="51" t="s">
        <v>191</v>
      </c>
      <c r="L48" s="39" t="s">
        <v>49</v>
      </c>
      <c r="M48" s="39"/>
      <c r="N48" s="39"/>
    </row>
    <row r="49" spans="1:14" ht="25.5" customHeight="1">
      <c r="A49" s="29">
        <v>47</v>
      </c>
      <c r="B49" s="29">
        <v>2025</v>
      </c>
      <c r="C49" s="36">
        <v>8</v>
      </c>
      <c r="D49" s="31">
        <v>45707</v>
      </c>
      <c r="E49" s="32" t="s">
        <v>43</v>
      </c>
      <c r="F49" s="33" t="s">
        <v>189</v>
      </c>
      <c r="G49" s="33" t="s">
        <v>92</v>
      </c>
      <c r="H49" s="39" t="s">
        <v>93</v>
      </c>
      <c r="I49" s="39" t="s">
        <v>203</v>
      </c>
      <c r="J49" s="55" t="s">
        <v>181</v>
      </c>
      <c r="K49" s="59" t="s">
        <v>204</v>
      </c>
      <c r="L49" s="39" t="s">
        <v>49</v>
      </c>
      <c r="M49" s="39"/>
      <c r="N49" s="39"/>
    </row>
    <row r="50" spans="1:14" ht="25.5" customHeight="1">
      <c r="A50" s="29">
        <v>48</v>
      </c>
      <c r="B50" s="29">
        <v>2025</v>
      </c>
      <c r="C50" s="36">
        <v>8</v>
      </c>
      <c r="D50" s="31">
        <v>45707</v>
      </c>
      <c r="E50" s="32" t="s">
        <v>43</v>
      </c>
      <c r="F50" s="33" t="s">
        <v>44</v>
      </c>
      <c r="G50" s="33" t="s">
        <v>45</v>
      </c>
      <c r="H50" s="39" t="s">
        <v>50</v>
      </c>
      <c r="I50" s="39" t="s">
        <v>205</v>
      </c>
      <c r="J50" s="55" t="s">
        <v>181</v>
      </c>
      <c r="K50" s="51" t="s">
        <v>206</v>
      </c>
      <c r="L50" s="39" t="s">
        <v>49</v>
      </c>
      <c r="M50" s="39"/>
      <c r="N50" s="39"/>
    </row>
    <row r="51" spans="1:14" ht="25.5" customHeight="1">
      <c r="A51" s="29">
        <v>49</v>
      </c>
      <c r="B51" s="29">
        <v>2025</v>
      </c>
      <c r="C51" s="36">
        <v>8</v>
      </c>
      <c r="D51" s="31">
        <v>45708</v>
      </c>
      <c r="E51" s="32" t="s">
        <v>43</v>
      </c>
      <c r="F51" s="33" t="s">
        <v>44</v>
      </c>
      <c r="G51" s="33" t="s">
        <v>45</v>
      </c>
      <c r="H51" s="39" t="s">
        <v>50</v>
      </c>
      <c r="I51" s="39" t="s">
        <v>207</v>
      </c>
      <c r="J51" s="55" t="s">
        <v>181</v>
      </c>
      <c r="K51" s="51" t="s">
        <v>208</v>
      </c>
      <c r="L51" s="39" t="s">
        <v>49</v>
      </c>
      <c r="M51" s="39"/>
      <c r="N51" s="39"/>
    </row>
    <row r="52" spans="1:14" ht="25.5" customHeight="1">
      <c r="A52" s="29">
        <v>50</v>
      </c>
      <c r="B52" s="29">
        <v>2025</v>
      </c>
      <c r="C52" s="62">
        <v>11</v>
      </c>
      <c r="D52" s="63">
        <v>45726</v>
      </c>
      <c r="E52" s="64" t="s">
        <v>43</v>
      </c>
      <c r="F52" s="65" t="s">
        <v>211</v>
      </c>
      <c r="G52" s="65" t="s">
        <v>45</v>
      </c>
      <c r="H52" s="66" t="s">
        <v>209</v>
      </c>
      <c r="I52" s="67" t="s">
        <v>212</v>
      </c>
      <c r="J52" s="68" t="s">
        <v>461</v>
      </c>
      <c r="K52" s="61" t="s">
        <v>210</v>
      </c>
      <c r="L52" s="66" t="s">
        <v>215</v>
      </c>
      <c r="M52" s="66"/>
      <c r="N52" s="66"/>
    </row>
    <row r="53" spans="1:14" ht="25.5" customHeight="1">
      <c r="A53" s="29">
        <v>51</v>
      </c>
      <c r="B53" s="29">
        <v>2025</v>
      </c>
      <c r="C53" s="36">
        <v>11</v>
      </c>
      <c r="D53" s="31">
        <v>45730</v>
      </c>
      <c r="E53" s="32" t="s">
        <v>43</v>
      </c>
      <c r="F53" s="33" t="s">
        <v>211</v>
      </c>
      <c r="G53" s="33" t="s">
        <v>45</v>
      </c>
      <c r="H53" s="39" t="s">
        <v>209</v>
      </c>
      <c r="I53" s="60" t="s">
        <v>214</v>
      </c>
      <c r="J53" s="107">
        <v>20</v>
      </c>
      <c r="K53" s="47" t="s">
        <v>213</v>
      </c>
      <c r="L53" s="39" t="s">
        <v>215</v>
      </c>
      <c r="M53" s="39"/>
      <c r="N53" s="39"/>
    </row>
    <row r="54" spans="1:14" ht="25.5" customHeight="1">
      <c r="A54" s="29">
        <v>52</v>
      </c>
      <c r="B54" s="29">
        <v>2025</v>
      </c>
      <c r="C54" s="36">
        <v>12</v>
      </c>
      <c r="D54" s="31">
        <v>45737</v>
      </c>
      <c r="E54" s="32" t="s">
        <v>43</v>
      </c>
      <c r="F54" s="33" t="s">
        <v>211</v>
      </c>
      <c r="G54" s="33" t="s">
        <v>45</v>
      </c>
      <c r="H54" s="39" t="s">
        <v>209</v>
      </c>
      <c r="I54" s="39" t="s">
        <v>216</v>
      </c>
      <c r="J54" s="46" t="s">
        <v>218</v>
      </c>
      <c r="K54" s="47" t="s">
        <v>217</v>
      </c>
      <c r="L54" s="39" t="s">
        <v>60</v>
      </c>
      <c r="M54" s="39"/>
      <c r="N54" s="39"/>
    </row>
    <row r="55" spans="1:14" ht="25.5" customHeight="1">
      <c r="A55" s="29">
        <v>53</v>
      </c>
      <c r="B55" s="29">
        <v>2025</v>
      </c>
      <c r="C55" s="36">
        <v>12</v>
      </c>
      <c r="D55" s="31">
        <v>45736</v>
      </c>
      <c r="E55" s="32" t="s">
        <v>43</v>
      </c>
      <c r="F55" s="33" t="s">
        <v>44</v>
      </c>
      <c r="G55" s="33" t="s">
        <v>45</v>
      </c>
      <c r="H55" s="39" t="s">
        <v>174</v>
      </c>
      <c r="I55" s="39" t="s">
        <v>219</v>
      </c>
      <c r="J55" s="55">
        <v>1</v>
      </c>
      <c r="K55" s="47" t="s">
        <v>220</v>
      </c>
      <c r="L55" s="39" t="s">
        <v>49</v>
      </c>
      <c r="M55" s="39"/>
      <c r="N55" s="39"/>
    </row>
    <row r="56" spans="1:14" ht="25.5" customHeight="1">
      <c r="A56" s="29">
        <v>54</v>
      </c>
      <c r="B56" s="29">
        <v>2025</v>
      </c>
      <c r="C56" s="36">
        <v>13</v>
      </c>
      <c r="D56" s="31">
        <v>45741</v>
      </c>
      <c r="E56" s="32" t="s">
        <v>43</v>
      </c>
      <c r="F56" s="33" t="s">
        <v>189</v>
      </c>
      <c r="G56" s="33" t="s">
        <v>92</v>
      </c>
      <c r="H56" s="39" t="s">
        <v>222</v>
      </c>
      <c r="I56" s="39" t="s">
        <v>223</v>
      </c>
      <c r="J56" s="55" t="s">
        <v>460</v>
      </c>
      <c r="K56" s="47" t="s">
        <v>221</v>
      </c>
      <c r="L56" s="39" t="s">
        <v>49</v>
      </c>
      <c r="M56" s="39"/>
      <c r="N56" s="39"/>
    </row>
    <row r="57" spans="1:14" ht="25.5" customHeight="1">
      <c r="A57" s="29">
        <v>55</v>
      </c>
      <c r="B57" s="29">
        <v>2025</v>
      </c>
      <c r="C57" s="36">
        <v>13</v>
      </c>
      <c r="D57" s="69" t="s">
        <v>224</v>
      </c>
      <c r="E57" s="32" t="s">
        <v>43</v>
      </c>
      <c r="F57" s="33" t="s">
        <v>44</v>
      </c>
      <c r="G57" s="33" t="s">
        <v>45</v>
      </c>
      <c r="H57" s="39" t="s">
        <v>225</v>
      </c>
      <c r="I57" s="37" t="s">
        <v>226</v>
      </c>
      <c r="J57" s="55" t="s">
        <v>227</v>
      </c>
      <c r="K57" s="47" t="s">
        <v>228</v>
      </c>
      <c r="L57" s="39" t="s">
        <v>49</v>
      </c>
      <c r="M57" s="39"/>
      <c r="N57" s="39"/>
    </row>
    <row r="58" spans="1:14" ht="25.5" customHeight="1">
      <c r="A58" s="29">
        <v>56</v>
      </c>
      <c r="B58" s="29">
        <v>2025</v>
      </c>
      <c r="C58" s="36">
        <v>13</v>
      </c>
      <c r="D58" s="69">
        <v>45744</v>
      </c>
      <c r="E58" s="32" t="s">
        <v>43</v>
      </c>
      <c r="F58" s="33" t="s">
        <v>189</v>
      </c>
      <c r="G58" s="33" t="s">
        <v>92</v>
      </c>
      <c r="H58" s="39" t="s">
        <v>222</v>
      </c>
      <c r="I58" s="37" t="s">
        <v>229</v>
      </c>
      <c r="J58" s="55" t="s">
        <v>181</v>
      </c>
      <c r="K58" s="51" t="s">
        <v>230</v>
      </c>
      <c r="L58" s="39" t="s">
        <v>49</v>
      </c>
      <c r="M58" s="39"/>
      <c r="N58" s="39"/>
    </row>
    <row r="59" spans="1:14" ht="25.5" customHeight="1">
      <c r="A59" s="29">
        <v>57</v>
      </c>
      <c r="B59" s="29">
        <v>2025</v>
      </c>
      <c r="C59" s="36">
        <v>15</v>
      </c>
      <c r="D59" s="69">
        <v>45757</v>
      </c>
      <c r="E59" s="32" t="s">
        <v>43</v>
      </c>
      <c r="F59" s="33" t="s">
        <v>44</v>
      </c>
      <c r="G59" s="33" t="s">
        <v>45</v>
      </c>
      <c r="H59" s="39" t="s">
        <v>225</v>
      </c>
      <c r="I59" s="37" t="s">
        <v>231</v>
      </c>
      <c r="J59" s="55" t="s">
        <v>181</v>
      </c>
      <c r="K59" s="51" t="s">
        <v>232</v>
      </c>
      <c r="L59" s="39" t="s">
        <v>49</v>
      </c>
      <c r="M59" s="39"/>
      <c r="N59" s="39"/>
    </row>
    <row r="60" spans="1:14" ht="25.5" customHeight="1">
      <c r="A60" s="29">
        <v>58</v>
      </c>
      <c r="B60" s="29">
        <v>2025</v>
      </c>
      <c r="C60" s="36">
        <v>16</v>
      </c>
      <c r="D60" s="31">
        <v>45764</v>
      </c>
      <c r="E60" s="32" t="s">
        <v>43</v>
      </c>
      <c r="F60" s="33" t="s">
        <v>44</v>
      </c>
      <c r="G60" s="33" t="s">
        <v>69</v>
      </c>
      <c r="H60" s="39" t="s">
        <v>233</v>
      </c>
      <c r="I60" s="39" t="s">
        <v>234</v>
      </c>
      <c r="J60" s="108">
        <v>33</v>
      </c>
      <c r="K60" s="47" t="s">
        <v>235</v>
      </c>
      <c r="L60" s="39" t="s">
        <v>60</v>
      </c>
      <c r="M60" s="39"/>
      <c r="N60" s="39"/>
    </row>
    <row r="61" spans="1:14" ht="25.5" customHeight="1">
      <c r="A61" s="29">
        <v>59</v>
      </c>
      <c r="B61" s="29">
        <v>2025</v>
      </c>
      <c r="C61" s="36">
        <v>16</v>
      </c>
      <c r="D61" s="31">
        <v>45765</v>
      </c>
      <c r="E61" s="32" t="s">
        <v>43</v>
      </c>
      <c r="F61" s="33" t="s">
        <v>44</v>
      </c>
      <c r="G61" s="33" t="s">
        <v>45</v>
      </c>
      <c r="H61" s="39" t="s">
        <v>50</v>
      </c>
      <c r="I61" s="39" t="s">
        <v>236</v>
      </c>
      <c r="J61" s="41">
        <v>1</v>
      </c>
      <c r="K61" s="47" t="s">
        <v>237</v>
      </c>
      <c r="L61" s="39" t="s">
        <v>49</v>
      </c>
      <c r="M61" s="39"/>
      <c r="N61" s="39"/>
    </row>
    <row r="62" spans="1:14" ht="25.5" customHeight="1">
      <c r="A62" s="29">
        <v>60</v>
      </c>
      <c r="B62" s="29">
        <v>2025</v>
      </c>
      <c r="C62" s="36">
        <v>21</v>
      </c>
      <c r="D62" s="31">
        <v>45799</v>
      </c>
      <c r="E62" s="32" t="s">
        <v>43</v>
      </c>
      <c r="F62" s="33" t="s">
        <v>44</v>
      </c>
      <c r="G62" s="33" t="s">
        <v>45</v>
      </c>
      <c r="H62" s="39" t="s">
        <v>174</v>
      </c>
      <c r="I62" s="39" t="s">
        <v>239</v>
      </c>
      <c r="J62" s="41">
        <v>1</v>
      </c>
      <c r="K62" s="51" t="s">
        <v>240</v>
      </c>
      <c r="L62" s="39" t="s">
        <v>49</v>
      </c>
      <c r="M62" s="39"/>
      <c r="N62" s="39"/>
    </row>
    <row r="63" spans="1:14" ht="25.5" customHeight="1">
      <c r="A63" s="29">
        <v>61</v>
      </c>
      <c r="B63" s="29">
        <v>2025</v>
      </c>
      <c r="C63" s="36">
        <v>23</v>
      </c>
      <c r="D63" s="31" t="s">
        <v>241</v>
      </c>
      <c r="E63" s="32" t="s">
        <v>43</v>
      </c>
      <c r="F63" s="33" t="s">
        <v>189</v>
      </c>
      <c r="G63" s="33" t="s">
        <v>92</v>
      </c>
      <c r="H63" s="39" t="s">
        <v>93</v>
      </c>
      <c r="I63" s="39" t="s">
        <v>242</v>
      </c>
      <c r="J63" s="41">
        <v>1</v>
      </c>
      <c r="K63" s="51" t="s">
        <v>243</v>
      </c>
      <c r="L63" s="39" t="s">
        <v>49</v>
      </c>
      <c r="M63" s="39"/>
      <c r="N63" s="39"/>
    </row>
    <row r="64" spans="1:14" ht="25.5" customHeight="1">
      <c r="A64" s="29">
        <v>62</v>
      </c>
      <c r="B64" s="29">
        <v>2025</v>
      </c>
      <c r="C64" s="36">
        <v>23</v>
      </c>
      <c r="D64" s="31">
        <v>45813</v>
      </c>
      <c r="E64" s="32" t="s">
        <v>43</v>
      </c>
      <c r="F64" s="33" t="s">
        <v>44</v>
      </c>
      <c r="G64" s="33" t="s">
        <v>45</v>
      </c>
      <c r="H64" s="39" t="s">
        <v>174</v>
      </c>
      <c r="I64" s="39" t="s">
        <v>244</v>
      </c>
      <c r="J64" s="41">
        <v>1</v>
      </c>
      <c r="K64" s="51" t="s">
        <v>245</v>
      </c>
      <c r="L64" s="39" t="s">
        <v>49</v>
      </c>
      <c r="M64" s="39"/>
      <c r="N64" s="39"/>
    </row>
    <row r="65" spans="1:14" ht="25.5" customHeight="1">
      <c r="A65" s="29">
        <v>63</v>
      </c>
      <c r="B65" s="29">
        <v>2025</v>
      </c>
      <c r="C65" s="36">
        <v>24</v>
      </c>
      <c r="D65" s="31">
        <v>45820</v>
      </c>
      <c r="E65" s="32" t="s">
        <v>43</v>
      </c>
      <c r="F65" s="33" t="s">
        <v>247</v>
      </c>
      <c r="G65" s="33" t="s">
        <v>92</v>
      </c>
      <c r="H65" s="39" t="s">
        <v>246</v>
      </c>
      <c r="I65" s="39" t="s">
        <v>248</v>
      </c>
      <c r="J65" s="41">
        <v>19</v>
      </c>
      <c r="K65" s="51" t="s">
        <v>249</v>
      </c>
      <c r="L65" s="39" t="s">
        <v>60</v>
      </c>
      <c r="M65" s="39"/>
      <c r="N65" s="39"/>
    </row>
    <row r="66" spans="1:14" ht="25.5" customHeight="1">
      <c r="A66" s="29">
        <v>64</v>
      </c>
      <c r="B66" s="29">
        <v>2025</v>
      </c>
      <c r="C66" s="36">
        <v>24</v>
      </c>
      <c r="D66" s="31">
        <v>45818</v>
      </c>
      <c r="E66" s="32" t="s">
        <v>43</v>
      </c>
      <c r="F66" s="33" t="s">
        <v>189</v>
      </c>
      <c r="G66" s="33" t="s">
        <v>92</v>
      </c>
      <c r="H66" s="39" t="s">
        <v>188</v>
      </c>
      <c r="I66" s="39" t="s">
        <v>250</v>
      </c>
      <c r="J66" s="41">
        <v>1</v>
      </c>
      <c r="K66" s="51" t="s">
        <v>251</v>
      </c>
      <c r="L66" s="39" t="s">
        <v>49</v>
      </c>
      <c r="M66" s="39"/>
      <c r="N66" s="39"/>
    </row>
    <row r="67" spans="1:14" ht="25.5" customHeight="1">
      <c r="A67" s="29">
        <v>65</v>
      </c>
      <c r="B67" s="29">
        <v>2025</v>
      </c>
      <c r="C67" s="36">
        <v>25</v>
      </c>
      <c r="D67" s="31">
        <v>45825</v>
      </c>
      <c r="E67" s="32" t="s">
        <v>43</v>
      </c>
      <c r="F67" s="33" t="s">
        <v>189</v>
      </c>
      <c r="G67" s="33" t="s">
        <v>92</v>
      </c>
      <c r="H67" s="39" t="s">
        <v>252</v>
      </c>
      <c r="I67" s="39" t="s">
        <v>253</v>
      </c>
      <c r="J67" s="41">
        <v>1</v>
      </c>
      <c r="K67" s="51" t="s">
        <v>254</v>
      </c>
      <c r="L67" s="39" t="s">
        <v>49</v>
      </c>
      <c r="M67" s="39"/>
      <c r="N67" s="39"/>
    </row>
    <row r="68" spans="1:14" ht="25.5" customHeight="1">
      <c r="A68" s="29">
        <v>66</v>
      </c>
      <c r="B68" s="29">
        <v>2025</v>
      </c>
      <c r="C68" s="36">
        <v>25</v>
      </c>
      <c r="D68" s="31">
        <v>45827</v>
      </c>
      <c r="E68" s="32" t="s">
        <v>43</v>
      </c>
      <c r="F68" s="33" t="s">
        <v>189</v>
      </c>
      <c r="G68" s="33" t="s">
        <v>92</v>
      </c>
      <c r="H68" s="39" t="s">
        <v>188</v>
      </c>
      <c r="I68" s="37" t="s">
        <v>256</v>
      </c>
      <c r="J68" s="41">
        <v>2</v>
      </c>
      <c r="K68" s="51" t="s">
        <v>257</v>
      </c>
      <c r="L68" s="39" t="s">
        <v>49</v>
      </c>
      <c r="M68" s="39"/>
      <c r="N68" s="39"/>
    </row>
    <row r="69" spans="1:14" ht="25.5" customHeight="1">
      <c r="A69" s="29">
        <v>67</v>
      </c>
      <c r="B69" s="29">
        <v>2025</v>
      </c>
      <c r="C69" s="36">
        <v>25</v>
      </c>
      <c r="D69" s="31">
        <v>45825</v>
      </c>
      <c r="E69" s="32" t="s">
        <v>43</v>
      </c>
      <c r="F69" s="33" t="s">
        <v>118</v>
      </c>
      <c r="G69" s="33" t="s">
        <v>45</v>
      </c>
      <c r="H69" s="39" t="s">
        <v>119</v>
      </c>
      <c r="I69" s="37" t="s">
        <v>255</v>
      </c>
      <c r="J69" s="41">
        <v>3</v>
      </c>
      <c r="K69" s="51" t="s">
        <v>258</v>
      </c>
      <c r="L69" s="39" t="s">
        <v>49</v>
      </c>
      <c r="M69" s="39"/>
      <c r="N69" s="39"/>
    </row>
    <row r="70" spans="1:14" ht="25.5" customHeight="1">
      <c r="A70" s="29">
        <v>68</v>
      </c>
      <c r="B70" s="29">
        <v>2025</v>
      </c>
      <c r="C70" s="36">
        <v>26</v>
      </c>
      <c r="D70" s="31">
        <v>45831</v>
      </c>
      <c r="E70" s="32" t="s">
        <v>43</v>
      </c>
      <c r="F70" s="33" t="s">
        <v>189</v>
      </c>
      <c r="G70" s="33" t="s">
        <v>92</v>
      </c>
      <c r="H70" s="39" t="s">
        <v>188</v>
      </c>
      <c r="I70" s="37" t="s">
        <v>259</v>
      </c>
      <c r="J70" s="41">
        <v>1</v>
      </c>
      <c r="K70" s="51" t="s">
        <v>260</v>
      </c>
      <c r="L70" s="39" t="s">
        <v>49</v>
      </c>
      <c r="M70" s="39"/>
      <c r="N70" s="39"/>
    </row>
    <row r="71" spans="1:14" ht="25.5" customHeight="1">
      <c r="A71" s="29">
        <v>69</v>
      </c>
      <c r="B71" s="29">
        <v>2025</v>
      </c>
      <c r="C71" s="36">
        <v>26</v>
      </c>
      <c r="D71" s="31">
        <v>45832</v>
      </c>
      <c r="E71" s="32" t="s">
        <v>43</v>
      </c>
      <c r="F71" s="33" t="s">
        <v>189</v>
      </c>
      <c r="G71" s="33" t="s">
        <v>92</v>
      </c>
      <c r="H71" s="39" t="s">
        <v>188</v>
      </c>
      <c r="I71" s="37" t="s">
        <v>261</v>
      </c>
      <c r="J71" s="41">
        <v>1</v>
      </c>
      <c r="K71" s="51" t="s">
        <v>262</v>
      </c>
      <c r="L71" s="39" t="s">
        <v>49</v>
      </c>
      <c r="M71" s="39"/>
      <c r="N71" s="39"/>
    </row>
    <row r="72" spans="1:14" ht="25.5" customHeight="1">
      <c r="A72" s="29">
        <v>70</v>
      </c>
      <c r="B72" s="29">
        <v>2025</v>
      </c>
      <c r="C72" s="36">
        <v>26</v>
      </c>
      <c r="D72" s="31">
        <v>45830</v>
      </c>
      <c r="E72" s="32" t="s">
        <v>43</v>
      </c>
      <c r="F72" s="33" t="s">
        <v>44</v>
      </c>
      <c r="G72" s="33" t="s">
        <v>45</v>
      </c>
      <c r="H72" s="39" t="s">
        <v>50</v>
      </c>
      <c r="I72" s="37" t="s">
        <v>263</v>
      </c>
      <c r="J72" s="41">
        <v>1</v>
      </c>
      <c r="K72" s="51" t="s">
        <v>264</v>
      </c>
      <c r="L72" s="39" t="s">
        <v>49</v>
      </c>
      <c r="M72" s="39"/>
      <c r="N72" s="39"/>
    </row>
    <row r="73" spans="1:14" ht="25.5" customHeight="1">
      <c r="A73" s="29">
        <v>71</v>
      </c>
      <c r="B73" s="29">
        <v>2025</v>
      </c>
      <c r="C73" s="36">
        <v>26</v>
      </c>
      <c r="D73" s="31">
        <v>45831</v>
      </c>
      <c r="E73" s="32" t="s">
        <v>43</v>
      </c>
      <c r="F73" s="33" t="s">
        <v>44</v>
      </c>
      <c r="G73" s="33" t="s">
        <v>45</v>
      </c>
      <c r="H73" s="39" t="s">
        <v>50</v>
      </c>
      <c r="I73" s="37" t="s">
        <v>265</v>
      </c>
      <c r="J73" s="41">
        <v>1</v>
      </c>
      <c r="K73" s="51" t="s">
        <v>266</v>
      </c>
      <c r="L73" s="39" t="s">
        <v>49</v>
      </c>
      <c r="M73" s="39"/>
      <c r="N73" s="39"/>
    </row>
    <row r="74" spans="1:14" ht="25.5" customHeight="1">
      <c r="A74" s="29">
        <v>72</v>
      </c>
      <c r="B74" s="29">
        <v>2025</v>
      </c>
      <c r="C74" s="36">
        <v>31</v>
      </c>
      <c r="D74" s="31">
        <v>45867</v>
      </c>
      <c r="E74" s="32" t="s">
        <v>43</v>
      </c>
      <c r="F74" s="33" t="s">
        <v>189</v>
      </c>
      <c r="G74" s="33" t="s">
        <v>92</v>
      </c>
      <c r="H74" s="39" t="s">
        <v>268</v>
      </c>
      <c r="I74" s="37" t="s">
        <v>269</v>
      </c>
      <c r="J74" s="41">
        <v>1</v>
      </c>
      <c r="K74" s="51" t="s">
        <v>270</v>
      </c>
      <c r="L74" s="39" t="s">
        <v>49</v>
      </c>
      <c r="M74" s="39"/>
      <c r="N74" s="39"/>
    </row>
    <row r="75" spans="1:14" ht="25.5" customHeight="1">
      <c r="A75" s="29">
        <v>73</v>
      </c>
      <c r="B75" s="29">
        <v>2025</v>
      </c>
      <c r="C75" s="36">
        <v>31</v>
      </c>
      <c r="D75" s="31">
        <v>45870</v>
      </c>
      <c r="E75" s="32" t="s">
        <v>43</v>
      </c>
      <c r="F75" s="33" t="s">
        <v>189</v>
      </c>
      <c r="G75" s="33" t="s">
        <v>92</v>
      </c>
      <c r="H75" s="39" t="s">
        <v>268</v>
      </c>
      <c r="I75" s="37" t="s">
        <v>271</v>
      </c>
      <c r="J75" s="41">
        <v>1</v>
      </c>
      <c r="K75" s="51" t="s">
        <v>272</v>
      </c>
      <c r="L75" s="39" t="s">
        <v>49</v>
      </c>
      <c r="M75" s="39"/>
      <c r="N75" s="39"/>
    </row>
    <row r="76" spans="1:14" ht="25.5" customHeight="1">
      <c r="A76" s="29">
        <v>74</v>
      </c>
      <c r="B76" s="29">
        <v>2025</v>
      </c>
      <c r="C76" s="36">
        <v>32</v>
      </c>
      <c r="D76" s="31">
        <v>45878</v>
      </c>
      <c r="E76" s="32" t="s">
        <v>43</v>
      </c>
      <c r="F76" s="33" t="s">
        <v>189</v>
      </c>
      <c r="G76" s="33" t="s">
        <v>92</v>
      </c>
      <c r="H76" s="39" t="s">
        <v>268</v>
      </c>
      <c r="I76" s="37" t="s">
        <v>273</v>
      </c>
      <c r="J76" s="41">
        <v>1</v>
      </c>
      <c r="K76" s="51" t="s">
        <v>274</v>
      </c>
      <c r="L76" s="39" t="s">
        <v>49</v>
      </c>
      <c r="M76" s="39"/>
      <c r="N76" s="39"/>
    </row>
    <row r="77" spans="1:14" ht="25.5" customHeight="1">
      <c r="A77" s="29">
        <v>75</v>
      </c>
      <c r="B77" s="29">
        <v>2025</v>
      </c>
      <c r="C77" s="36">
        <v>32</v>
      </c>
      <c r="D77" s="31">
        <v>45874</v>
      </c>
      <c r="E77" s="32" t="s">
        <v>43</v>
      </c>
      <c r="F77" s="33" t="s">
        <v>44</v>
      </c>
      <c r="G77" s="33" t="s">
        <v>45</v>
      </c>
      <c r="H77" s="39" t="s">
        <v>225</v>
      </c>
      <c r="I77" s="37" t="s">
        <v>275</v>
      </c>
      <c r="J77" s="41">
        <v>1</v>
      </c>
      <c r="K77" s="51" t="s">
        <v>276</v>
      </c>
      <c r="L77" s="39" t="s">
        <v>49</v>
      </c>
      <c r="M77" s="39"/>
      <c r="N77" s="39"/>
    </row>
    <row r="78" spans="1:14" ht="25.5" customHeight="1">
      <c r="A78" s="29">
        <v>76</v>
      </c>
      <c r="B78" s="29">
        <v>2025</v>
      </c>
      <c r="C78" s="36">
        <v>33</v>
      </c>
      <c r="D78" s="31">
        <v>45880</v>
      </c>
      <c r="E78" s="32" t="s">
        <v>43</v>
      </c>
      <c r="F78" s="33" t="s">
        <v>189</v>
      </c>
      <c r="G78" s="33" t="s">
        <v>45</v>
      </c>
      <c r="H78" s="76" t="s">
        <v>277</v>
      </c>
      <c r="I78" s="37" t="s">
        <v>278</v>
      </c>
      <c r="J78" s="41">
        <v>5</v>
      </c>
      <c r="K78" s="51" t="s">
        <v>279</v>
      </c>
      <c r="L78" s="39" t="s">
        <v>60</v>
      </c>
      <c r="M78" s="39"/>
      <c r="N78" s="39"/>
    </row>
    <row r="79" spans="1:14" ht="25.5" customHeight="1">
      <c r="A79" s="29">
        <v>77</v>
      </c>
      <c r="B79" s="29">
        <v>2025</v>
      </c>
      <c r="C79" s="36">
        <v>33</v>
      </c>
      <c r="D79" s="31">
        <v>45880</v>
      </c>
      <c r="E79" s="32" t="s">
        <v>43</v>
      </c>
      <c r="F79" s="33" t="s">
        <v>44</v>
      </c>
      <c r="G79" s="33" t="s">
        <v>45</v>
      </c>
      <c r="H79" s="76" t="s">
        <v>174</v>
      </c>
      <c r="I79" s="37" t="s">
        <v>280</v>
      </c>
      <c r="J79" s="41">
        <v>1</v>
      </c>
      <c r="K79" s="51" t="s">
        <v>281</v>
      </c>
      <c r="L79" s="39" t="s">
        <v>49</v>
      </c>
      <c r="M79" s="39"/>
      <c r="N79" s="39"/>
    </row>
    <row r="80" spans="1:14" ht="25.5" customHeight="1">
      <c r="A80" s="29">
        <v>78</v>
      </c>
      <c r="B80" s="29">
        <v>2025</v>
      </c>
      <c r="C80" s="36">
        <v>36</v>
      </c>
      <c r="D80" s="31">
        <v>45904</v>
      </c>
      <c r="E80" s="32" t="s">
        <v>43</v>
      </c>
      <c r="F80" s="33" t="s">
        <v>44</v>
      </c>
      <c r="G80" s="33" t="s">
        <v>69</v>
      </c>
      <c r="H80" s="39" t="s">
        <v>283</v>
      </c>
      <c r="I80" s="39" t="s">
        <v>284</v>
      </c>
      <c r="J80" s="46" t="s">
        <v>181</v>
      </c>
      <c r="K80" s="51" t="s">
        <v>285</v>
      </c>
      <c r="L80" s="39" t="s">
        <v>60</v>
      </c>
      <c r="M80" s="39"/>
      <c r="N80" s="39"/>
    </row>
    <row r="81" spans="1:14" ht="25.5" customHeight="1">
      <c r="A81" s="29">
        <v>79</v>
      </c>
      <c r="B81" s="29">
        <v>2025</v>
      </c>
      <c r="C81" s="36">
        <v>36</v>
      </c>
      <c r="D81" s="31">
        <v>45903</v>
      </c>
      <c r="E81" s="32" t="s">
        <v>43</v>
      </c>
      <c r="F81" s="33" t="s">
        <v>44</v>
      </c>
      <c r="G81" s="33" t="s">
        <v>45</v>
      </c>
      <c r="H81" s="76" t="s">
        <v>174</v>
      </c>
      <c r="I81" s="37" t="s">
        <v>286</v>
      </c>
      <c r="J81" s="41">
        <v>1</v>
      </c>
      <c r="K81" s="51" t="s">
        <v>287</v>
      </c>
      <c r="L81" s="39" t="s">
        <v>49</v>
      </c>
      <c r="M81" s="39"/>
      <c r="N81" s="39"/>
    </row>
    <row r="82" spans="1:14" ht="25.5" customHeight="1">
      <c r="A82" s="29">
        <v>80</v>
      </c>
      <c r="B82" s="29">
        <v>2025</v>
      </c>
      <c r="C82" s="36">
        <v>39</v>
      </c>
      <c r="D82" s="31">
        <v>45922</v>
      </c>
      <c r="E82" s="32" t="s">
        <v>43</v>
      </c>
      <c r="F82" s="33" t="s">
        <v>44</v>
      </c>
      <c r="G82" s="33" t="s">
        <v>45</v>
      </c>
      <c r="H82" s="76" t="s">
        <v>289</v>
      </c>
      <c r="I82" s="37" t="s">
        <v>290</v>
      </c>
      <c r="J82" s="41">
        <v>1</v>
      </c>
      <c r="K82" s="51" t="s">
        <v>291</v>
      </c>
      <c r="L82" s="39" t="s">
        <v>49</v>
      </c>
      <c r="M82" s="39"/>
      <c r="N82" s="39"/>
    </row>
    <row r="83" spans="1:14" ht="25.5" customHeight="1">
      <c r="A83" s="29">
        <v>81</v>
      </c>
      <c r="B83" s="29">
        <v>2025</v>
      </c>
      <c r="C83" s="36">
        <v>39</v>
      </c>
      <c r="D83" s="31">
        <v>45922</v>
      </c>
      <c r="E83" s="32" t="s">
        <v>43</v>
      </c>
      <c r="F83" s="33" t="s">
        <v>44</v>
      </c>
      <c r="G83" s="33" t="s">
        <v>45</v>
      </c>
      <c r="H83" s="76" t="s">
        <v>292</v>
      </c>
      <c r="I83" s="37" t="s">
        <v>293</v>
      </c>
      <c r="J83" s="41">
        <v>16</v>
      </c>
      <c r="K83" s="51" t="s">
        <v>294</v>
      </c>
      <c r="L83" s="39" t="s">
        <v>49</v>
      </c>
      <c r="M83" s="39"/>
      <c r="N83" s="39"/>
    </row>
    <row r="84" spans="1:14" ht="25.5" customHeight="1">
      <c r="A84" s="29">
        <v>82</v>
      </c>
      <c r="B84" s="29">
        <v>2025</v>
      </c>
      <c r="C84" s="36">
        <v>39</v>
      </c>
      <c r="D84" s="31">
        <v>45927</v>
      </c>
      <c r="E84" s="32" t="s">
        <v>43</v>
      </c>
      <c r="F84" s="33" t="s">
        <v>44</v>
      </c>
      <c r="G84" s="33" t="s">
        <v>45</v>
      </c>
      <c r="H84" s="76" t="s">
        <v>289</v>
      </c>
      <c r="I84" s="37" t="s">
        <v>295</v>
      </c>
      <c r="J84" s="41">
        <v>3</v>
      </c>
      <c r="K84" s="51" t="s">
        <v>296</v>
      </c>
      <c r="L84" s="39" t="s">
        <v>49</v>
      </c>
      <c r="M84" s="39"/>
      <c r="N84" s="39"/>
    </row>
    <row r="85" spans="1:14" ht="25.5" customHeight="1">
      <c r="A85" s="29">
        <v>83</v>
      </c>
      <c r="B85" s="29">
        <v>2025</v>
      </c>
      <c r="C85" s="36">
        <v>40</v>
      </c>
      <c r="D85" s="31">
        <v>45930</v>
      </c>
      <c r="E85" s="32" t="s">
        <v>43</v>
      </c>
      <c r="F85" s="33" t="s">
        <v>44</v>
      </c>
      <c r="G85" s="33" t="s">
        <v>45</v>
      </c>
      <c r="H85" s="77" t="s">
        <v>288</v>
      </c>
      <c r="I85" s="37" t="s">
        <v>297</v>
      </c>
      <c r="J85" s="41">
        <v>8</v>
      </c>
      <c r="K85" s="51" t="s">
        <v>298</v>
      </c>
      <c r="L85" s="39" t="s">
        <v>60</v>
      </c>
      <c r="M85" s="39"/>
      <c r="N85" s="39"/>
    </row>
    <row r="86" spans="1:14" ht="25.5" customHeight="1">
      <c r="A86" s="29">
        <v>84</v>
      </c>
      <c r="B86" s="29">
        <v>2025</v>
      </c>
      <c r="C86" s="36">
        <v>40</v>
      </c>
      <c r="D86" s="31">
        <v>45933</v>
      </c>
      <c r="E86" s="32" t="s">
        <v>43</v>
      </c>
      <c r="F86" s="33" t="s">
        <v>44</v>
      </c>
      <c r="G86" s="33" t="s">
        <v>45</v>
      </c>
      <c r="H86" s="77" t="s">
        <v>289</v>
      </c>
      <c r="I86" s="37" t="s">
        <v>299</v>
      </c>
      <c r="J86" s="41">
        <v>3</v>
      </c>
      <c r="K86" s="51" t="s">
        <v>300</v>
      </c>
      <c r="L86" s="39" t="s">
        <v>49</v>
      </c>
      <c r="M86" s="39"/>
      <c r="N86" s="39"/>
    </row>
    <row r="87" spans="1:14" ht="25.5" customHeight="1">
      <c r="A87" s="29">
        <v>85</v>
      </c>
      <c r="B87" s="29">
        <v>2025</v>
      </c>
      <c r="C87" s="36">
        <v>40</v>
      </c>
      <c r="D87" s="31">
        <v>45932</v>
      </c>
      <c r="E87" s="32" t="s">
        <v>43</v>
      </c>
      <c r="F87" s="33" t="s">
        <v>44</v>
      </c>
      <c r="G87" s="33" t="s">
        <v>45</v>
      </c>
      <c r="H87" s="77" t="s">
        <v>174</v>
      </c>
      <c r="I87" s="37" t="s">
        <v>301</v>
      </c>
      <c r="J87" s="41">
        <v>1</v>
      </c>
      <c r="K87" s="51" t="s">
        <v>302</v>
      </c>
      <c r="L87" s="39" t="s">
        <v>49</v>
      </c>
      <c r="M87" s="39"/>
      <c r="N87" s="39"/>
    </row>
    <row r="88" spans="1:14" ht="25.5" customHeight="1">
      <c r="A88" s="29">
        <v>86</v>
      </c>
      <c r="B88" s="29">
        <v>2025</v>
      </c>
      <c r="C88" s="36">
        <v>40</v>
      </c>
      <c r="D88" s="31">
        <v>45932</v>
      </c>
      <c r="E88" s="32" t="s">
        <v>43</v>
      </c>
      <c r="F88" s="33" t="s">
        <v>44</v>
      </c>
      <c r="G88" s="33" t="s">
        <v>45</v>
      </c>
      <c r="H88" s="77" t="s">
        <v>292</v>
      </c>
      <c r="I88" s="37" t="s">
        <v>303</v>
      </c>
      <c r="J88" s="41">
        <v>1</v>
      </c>
      <c r="K88" s="51" t="s">
        <v>304</v>
      </c>
      <c r="L88" s="39" t="s">
        <v>49</v>
      </c>
      <c r="M88" s="39"/>
      <c r="N88" s="39"/>
    </row>
    <row r="89" spans="1:14" ht="25.5" customHeight="1">
      <c r="A89" s="29">
        <v>87</v>
      </c>
      <c r="B89" s="29">
        <v>2025</v>
      </c>
      <c r="C89" s="36">
        <v>41</v>
      </c>
      <c r="D89" s="31">
        <v>45939</v>
      </c>
      <c r="E89" s="32" t="s">
        <v>43</v>
      </c>
      <c r="F89" s="33" t="s">
        <v>44</v>
      </c>
      <c r="G89" s="33" t="s">
        <v>45</v>
      </c>
      <c r="H89" s="77" t="s">
        <v>174</v>
      </c>
      <c r="I89" s="37" t="s">
        <v>305</v>
      </c>
      <c r="J89" s="41">
        <v>1</v>
      </c>
      <c r="K89" s="51" t="s">
        <v>306</v>
      </c>
      <c r="L89" s="39" t="s">
        <v>49</v>
      </c>
      <c r="M89" s="39"/>
      <c r="N89" s="39"/>
    </row>
    <row r="90" spans="1:14" ht="25.5" customHeight="1">
      <c r="A90" s="29">
        <v>88</v>
      </c>
      <c r="B90" s="29">
        <v>2025</v>
      </c>
      <c r="C90" s="36">
        <v>42</v>
      </c>
      <c r="D90" s="31">
        <v>45948</v>
      </c>
      <c r="E90" s="32" t="s">
        <v>43</v>
      </c>
      <c r="F90" s="33" t="s">
        <v>44</v>
      </c>
      <c r="G90" s="33" t="s">
        <v>45</v>
      </c>
      <c r="H90" s="77" t="s">
        <v>307</v>
      </c>
      <c r="I90" s="37" t="s">
        <v>308</v>
      </c>
      <c r="J90" s="41">
        <v>1</v>
      </c>
      <c r="K90" s="51" t="s">
        <v>309</v>
      </c>
      <c r="L90" s="39" t="s">
        <v>49</v>
      </c>
      <c r="M90" s="39"/>
      <c r="N90" s="39"/>
    </row>
    <row r="91" spans="1:14" ht="25.5" customHeight="1">
      <c r="A91" s="29">
        <v>89</v>
      </c>
      <c r="B91" s="29">
        <v>2025</v>
      </c>
      <c r="C91" s="36">
        <v>43</v>
      </c>
      <c r="D91" s="31">
        <v>45952</v>
      </c>
      <c r="E91" s="32" t="s">
        <v>43</v>
      </c>
      <c r="F91" s="33" t="s">
        <v>118</v>
      </c>
      <c r="G91" s="33" t="s">
        <v>45</v>
      </c>
      <c r="H91" s="77" t="s">
        <v>119</v>
      </c>
      <c r="I91" s="37" t="s">
        <v>310</v>
      </c>
      <c r="J91" s="41">
        <v>92</v>
      </c>
      <c r="K91" s="51" t="s">
        <v>311</v>
      </c>
      <c r="L91" s="39" t="s">
        <v>60</v>
      </c>
      <c r="M91" s="39"/>
      <c r="N91" s="39"/>
    </row>
    <row r="92" spans="1:14" ht="25.5" customHeight="1">
      <c r="A92" s="29">
        <v>90</v>
      </c>
      <c r="B92" s="29">
        <v>2025</v>
      </c>
      <c r="C92" s="36">
        <v>43</v>
      </c>
      <c r="D92" s="31">
        <v>45953</v>
      </c>
      <c r="E92" s="32" t="s">
        <v>43</v>
      </c>
      <c r="F92" s="33" t="s">
        <v>44</v>
      </c>
      <c r="G92" s="33" t="s">
        <v>45</v>
      </c>
      <c r="H92" s="77" t="s">
        <v>288</v>
      </c>
      <c r="I92" s="37" t="s">
        <v>312</v>
      </c>
      <c r="J92" s="41">
        <v>1</v>
      </c>
      <c r="K92" s="51" t="s">
        <v>313</v>
      </c>
      <c r="L92" s="39" t="s">
        <v>49</v>
      </c>
      <c r="M92" s="39"/>
      <c r="N92" s="39"/>
    </row>
    <row r="93" spans="1:14" ht="25.5" customHeight="1">
      <c r="A93" s="29">
        <v>91</v>
      </c>
      <c r="B93" s="29">
        <v>2025</v>
      </c>
      <c r="C93" s="36">
        <v>44</v>
      </c>
      <c r="D93" s="31">
        <v>45958</v>
      </c>
      <c r="E93" s="32" t="s">
        <v>43</v>
      </c>
      <c r="F93" s="33" t="s">
        <v>44</v>
      </c>
      <c r="G93" s="33" t="s">
        <v>45</v>
      </c>
      <c r="H93" s="77" t="s">
        <v>288</v>
      </c>
      <c r="I93" s="37" t="s">
        <v>314</v>
      </c>
      <c r="J93" s="41">
        <v>1</v>
      </c>
      <c r="K93" s="51" t="s">
        <v>315</v>
      </c>
      <c r="L93" s="39" t="s">
        <v>49</v>
      </c>
      <c r="M93" s="39"/>
      <c r="N93" s="39"/>
    </row>
    <row r="94" spans="1:14" ht="25.5" customHeight="1">
      <c r="A94" s="29">
        <v>92</v>
      </c>
      <c r="B94" s="29">
        <v>2025</v>
      </c>
      <c r="C94" s="36">
        <v>44</v>
      </c>
      <c r="D94" s="31">
        <v>45961</v>
      </c>
      <c r="E94" s="32" t="s">
        <v>43</v>
      </c>
      <c r="F94" s="33" t="s">
        <v>44</v>
      </c>
      <c r="G94" s="33" t="s">
        <v>45</v>
      </c>
      <c r="H94" s="77" t="s">
        <v>288</v>
      </c>
      <c r="I94" s="37" t="s">
        <v>316</v>
      </c>
      <c r="J94" s="41">
        <v>1</v>
      </c>
      <c r="K94" s="51" t="s">
        <v>317</v>
      </c>
      <c r="L94" s="39" t="s">
        <v>49</v>
      </c>
      <c r="M94" s="39"/>
      <c r="N94" s="39"/>
    </row>
    <row r="95" spans="1:14" ht="25.5" customHeight="1">
      <c r="A95" s="29">
        <v>93</v>
      </c>
      <c r="B95" s="29">
        <v>2025</v>
      </c>
      <c r="C95" s="36">
        <v>45</v>
      </c>
      <c r="D95" s="31">
        <v>45964</v>
      </c>
      <c r="E95" s="32" t="s">
        <v>43</v>
      </c>
      <c r="F95" s="33" t="s">
        <v>44</v>
      </c>
      <c r="G95" s="33" t="s">
        <v>45</v>
      </c>
      <c r="H95" s="77" t="s">
        <v>288</v>
      </c>
      <c r="I95" s="37" t="s">
        <v>318</v>
      </c>
      <c r="J95" s="41">
        <v>1</v>
      </c>
      <c r="K95" s="51" t="s">
        <v>319</v>
      </c>
      <c r="L95" s="39" t="s">
        <v>49</v>
      </c>
      <c r="M95" s="39"/>
      <c r="N95" s="39"/>
    </row>
    <row r="96" spans="1:14" ht="25.5" customHeight="1">
      <c r="A96" s="29">
        <v>94</v>
      </c>
      <c r="B96" s="29">
        <v>2025</v>
      </c>
      <c r="C96" s="36">
        <v>45</v>
      </c>
      <c r="D96" s="31">
        <v>45966</v>
      </c>
      <c r="E96" s="32" t="s">
        <v>43</v>
      </c>
      <c r="F96" s="33" t="s">
        <v>44</v>
      </c>
      <c r="G96" s="33" t="s">
        <v>45</v>
      </c>
      <c r="H96" s="77" t="s">
        <v>288</v>
      </c>
      <c r="I96" s="37" t="s">
        <v>320</v>
      </c>
      <c r="J96" s="41">
        <v>2</v>
      </c>
      <c r="K96" s="51" t="s">
        <v>321</v>
      </c>
      <c r="L96" s="39" t="s">
        <v>49</v>
      </c>
      <c r="M96" s="39"/>
      <c r="N96" s="39"/>
    </row>
    <row r="97" spans="1:14" ht="25.5" customHeight="1">
      <c r="A97" s="29">
        <v>95</v>
      </c>
      <c r="B97" s="29">
        <v>2025</v>
      </c>
      <c r="C97" s="36">
        <v>45</v>
      </c>
      <c r="D97" s="31">
        <v>45967</v>
      </c>
      <c r="E97" s="32" t="s">
        <v>43</v>
      </c>
      <c r="F97" s="33" t="s">
        <v>44</v>
      </c>
      <c r="G97" s="33" t="s">
        <v>45</v>
      </c>
      <c r="H97" s="77" t="s">
        <v>288</v>
      </c>
      <c r="I97" s="37" t="s">
        <v>322</v>
      </c>
      <c r="J97" s="41">
        <v>1</v>
      </c>
      <c r="K97" s="51" t="s">
        <v>323</v>
      </c>
      <c r="L97" s="39" t="s">
        <v>49</v>
      </c>
      <c r="M97" s="39"/>
      <c r="N97" s="39"/>
    </row>
    <row r="98" spans="1:14" ht="25.5" customHeight="1">
      <c r="A98" s="29">
        <v>96</v>
      </c>
      <c r="B98" s="29">
        <v>2025</v>
      </c>
      <c r="C98" s="36" t="s">
        <v>328</v>
      </c>
      <c r="D98" s="31">
        <v>45973</v>
      </c>
      <c r="E98" s="32" t="s">
        <v>43</v>
      </c>
      <c r="F98" s="33" t="s">
        <v>118</v>
      </c>
      <c r="G98" s="33" t="s">
        <v>45</v>
      </c>
      <c r="H98" s="77" t="s">
        <v>119</v>
      </c>
      <c r="I98" s="37" t="s">
        <v>324</v>
      </c>
      <c r="J98" s="41">
        <v>172</v>
      </c>
      <c r="K98" s="51" t="s">
        <v>325</v>
      </c>
      <c r="L98" s="39" t="s">
        <v>60</v>
      </c>
      <c r="M98" s="39"/>
      <c r="N98" s="39"/>
    </row>
    <row r="99" spans="1:14" ht="25.5" customHeight="1">
      <c r="A99" s="29">
        <v>97</v>
      </c>
      <c r="B99" s="29">
        <v>2025</v>
      </c>
      <c r="C99" s="36">
        <v>46</v>
      </c>
      <c r="D99" s="31">
        <v>45972</v>
      </c>
      <c r="E99" s="32" t="s">
        <v>43</v>
      </c>
      <c r="F99" s="33" t="s">
        <v>44</v>
      </c>
      <c r="G99" s="33" t="s">
        <v>45</v>
      </c>
      <c r="H99" s="77" t="s">
        <v>288</v>
      </c>
      <c r="I99" s="37" t="s">
        <v>326</v>
      </c>
      <c r="J99" s="41">
        <v>2</v>
      </c>
      <c r="K99" s="51" t="s">
        <v>321</v>
      </c>
      <c r="L99" s="39" t="s">
        <v>49</v>
      </c>
      <c r="M99" s="39"/>
      <c r="N99" s="39"/>
    </row>
    <row r="100" spans="1:14" ht="25.5" customHeight="1">
      <c r="A100" s="29">
        <v>98</v>
      </c>
      <c r="B100" s="29">
        <v>2025</v>
      </c>
      <c r="C100" s="36">
        <v>47</v>
      </c>
      <c r="D100" s="31">
        <v>45980</v>
      </c>
      <c r="E100" s="32" t="s">
        <v>43</v>
      </c>
      <c r="F100" s="33" t="s">
        <v>44</v>
      </c>
      <c r="G100" s="33" t="s">
        <v>45</v>
      </c>
      <c r="H100" s="77" t="s">
        <v>288</v>
      </c>
      <c r="I100" s="37" t="s">
        <v>329</v>
      </c>
      <c r="J100" s="41">
        <v>1</v>
      </c>
      <c r="K100" s="51" t="s">
        <v>330</v>
      </c>
      <c r="L100" s="39" t="s">
        <v>49</v>
      </c>
      <c r="M100" s="39"/>
      <c r="N100" s="39"/>
    </row>
    <row r="101" spans="1:14" ht="25.5" customHeight="1">
      <c r="A101" s="29">
        <v>99</v>
      </c>
      <c r="B101" s="29">
        <v>2025</v>
      </c>
      <c r="C101" s="36">
        <v>47</v>
      </c>
      <c r="D101" s="31">
        <v>45981</v>
      </c>
      <c r="E101" s="32" t="s">
        <v>43</v>
      </c>
      <c r="F101" s="33" t="s">
        <v>118</v>
      </c>
      <c r="G101" s="33" t="s">
        <v>45</v>
      </c>
      <c r="H101" s="77" t="s">
        <v>119</v>
      </c>
      <c r="I101" s="37" t="s">
        <v>331</v>
      </c>
      <c r="J101" s="41">
        <v>1</v>
      </c>
      <c r="K101" s="51" t="s">
        <v>332</v>
      </c>
      <c r="L101" s="39" t="s">
        <v>49</v>
      </c>
      <c r="M101" s="39"/>
      <c r="N101" s="39"/>
    </row>
    <row r="102" spans="1:14" ht="25.5" customHeight="1">
      <c r="A102" s="29">
        <v>100</v>
      </c>
      <c r="B102" s="29">
        <v>2025</v>
      </c>
      <c r="C102" s="36">
        <v>49</v>
      </c>
      <c r="D102" s="31">
        <v>45993</v>
      </c>
      <c r="E102" s="32" t="s">
        <v>43</v>
      </c>
      <c r="F102" s="33" t="s">
        <v>44</v>
      </c>
      <c r="G102" s="33" t="s">
        <v>45</v>
      </c>
      <c r="H102" s="79" t="s">
        <v>288</v>
      </c>
      <c r="I102" s="37" t="s">
        <v>333</v>
      </c>
      <c r="J102" s="41">
        <v>1</v>
      </c>
      <c r="K102" s="51" t="s">
        <v>334</v>
      </c>
      <c r="L102" s="39" t="s">
        <v>49</v>
      </c>
      <c r="M102" s="39"/>
      <c r="N102" s="39"/>
    </row>
    <row r="103" spans="1:14" ht="25.5" customHeight="1">
      <c r="A103" s="29">
        <v>101</v>
      </c>
      <c r="B103" s="29">
        <v>2025</v>
      </c>
      <c r="C103" s="36">
        <v>49</v>
      </c>
      <c r="D103" s="31">
        <v>45995</v>
      </c>
      <c r="E103" s="32" t="s">
        <v>43</v>
      </c>
      <c r="F103" s="33" t="s">
        <v>118</v>
      </c>
      <c r="G103" s="33" t="s">
        <v>45</v>
      </c>
      <c r="H103" s="79" t="s">
        <v>119</v>
      </c>
      <c r="I103" s="37" t="s">
        <v>335</v>
      </c>
      <c r="J103" s="41">
        <v>1</v>
      </c>
      <c r="K103" s="51" t="s">
        <v>336</v>
      </c>
      <c r="L103" s="39" t="s">
        <v>49</v>
      </c>
      <c r="M103" s="39"/>
      <c r="N103" s="39"/>
    </row>
    <row r="104" spans="1:14" ht="25.5" customHeight="1">
      <c r="A104" s="29">
        <v>102</v>
      </c>
      <c r="B104" s="29">
        <v>2025</v>
      </c>
      <c r="C104" s="36">
        <v>49</v>
      </c>
      <c r="D104" s="31">
        <v>45995</v>
      </c>
      <c r="E104" s="32" t="s">
        <v>43</v>
      </c>
      <c r="F104" s="33" t="s">
        <v>118</v>
      </c>
      <c r="G104" s="33" t="s">
        <v>45</v>
      </c>
      <c r="H104" s="79" t="s">
        <v>119</v>
      </c>
      <c r="I104" s="79" t="s">
        <v>337</v>
      </c>
      <c r="J104" s="41">
        <v>1</v>
      </c>
      <c r="K104" s="51" t="s">
        <v>338</v>
      </c>
      <c r="L104" s="39" t="s">
        <v>49</v>
      </c>
      <c r="M104" s="39"/>
      <c r="N104" s="39"/>
    </row>
    <row r="105" spans="1:14" ht="25.5" customHeight="1">
      <c r="A105" s="29">
        <v>103</v>
      </c>
      <c r="B105" s="29">
        <v>2025</v>
      </c>
      <c r="C105" s="36">
        <v>50</v>
      </c>
      <c r="D105" s="31">
        <v>46001</v>
      </c>
      <c r="E105" s="32" t="s">
        <v>43</v>
      </c>
      <c r="F105" s="33" t="s">
        <v>118</v>
      </c>
      <c r="G105" s="33" t="s">
        <v>45</v>
      </c>
      <c r="H105" s="79" t="s">
        <v>119</v>
      </c>
      <c r="I105" s="37" t="s">
        <v>339</v>
      </c>
      <c r="J105" s="41">
        <v>3</v>
      </c>
      <c r="K105" s="51" t="s">
        <v>340</v>
      </c>
      <c r="L105" s="39" t="s">
        <v>49</v>
      </c>
      <c r="M105" s="39"/>
      <c r="N105" s="39"/>
    </row>
    <row r="106" spans="1:14" ht="25.5" customHeight="1">
      <c r="A106" s="29">
        <v>104</v>
      </c>
      <c r="B106" s="29">
        <v>2025</v>
      </c>
      <c r="C106" s="36">
        <v>51</v>
      </c>
      <c r="D106" s="69">
        <v>46007</v>
      </c>
      <c r="E106" s="32" t="s">
        <v>43</v>
      </c>
      <c r="F106" s="33" t="s">
        <v>44</v>
      </c>
      <c r="G106" s="33" t="s">
        <v>45</v>
      </c>
      <c r="H106" s="79" t="s">
        <v>288</v>
      </c>
      <c r="I106" s="37" t="s">
        <v>341</v>
      </c>
      <c r="J106" s="41">
        <v>1</v>
      </c>
      <c r="K106" s="51" t="s">
        <v>342</v>
      </c>
      <c r="L106" s="39" t="s">
        <v>49</v>
      </c>
      <c r="M106" s="39"/>
      <c r="N106" s="39"/>
    </row>
    <row r="107" spans="1:14" ht="25.5" customHeight="1">
      <c r="A107" s="29">
        <v>105</v>
      </c>
      <c r="B107" s="29">
        <v>2025</v>
      </c>
      <c r="C107" s="36">
        <v>51</v>
      </c>
      <c r="D107" s="69">
        <v>46010</v>
      </c>
      <c r="E107" s="32" t="s">
        <v>43</v>
      </c>
      <c r="F107" s="33" t="s">
        <v>118</v>
      </c>
      <c r="G107" s="33" t="s">
        <v>45</v>
      </c>
      <c r="H107" s="79" t="s">
        <v>119</v>
      </c>
      <c r="I107" s="37" t="s">
        <v>343</v>
      </c>
      <c r="J107" s="41">
        <v>1</v>
      </c>
      <c r="K107" s="51" t="s">
        <v>321</v>
      </c>
      <c r="L107" s="39" t="s">
        <v>49</v>
      </c>
      <c r="M107" s="39"/>
      <c r="N107" s="39"/>
    </row>
    <row r="108" spans="1:14" ht="25.5" customHeight="1">
      <c r="A108" s="29">
        <v>106</v>
      </c>
      <c r="B108" s="29">
        <v>2025</v>
      </c>
      <c r="C108" s="36">
        <v>52</v>
      </c>
      <c r="D108" s="69">
        <v>46013</v>
      </c>
      <c r="E108" s="32" t="s">
        <v>43</v>
      </c>
      <c r="F108" s="33" t="s">
        <v>44</v>
      </c>
      <c r="G108" s="33" t="s">
        <v>45</v>
      </c>
      <c r="H108" s="79" t="s">
        <v>288</v>
      </c>
      <c r="I108" s="37" t="s">
        <v>345</v>
      </c>
      <c r="J108" s="41">
        <v>1</v>
      </c>
      <c r="K108" s="51" t="s">
        <v>344</v>
      </c>
      <c r="L108" s="39" t="s">
        <v>49</v>
      </c>
      <c r="M108" s="39"/>
      <c r="N108" s="39"/>
    </row>
    <row r="109" spans="1:14" ht="25.5" customHeight="1">
      <c r="A109" s="29">
        <v>107</v>
      </c>
      <c r="B109" s="29">
        <v>2026</v>
      </c>
      <c r="C109" s="36">
        <v>1</v>
      </c>
      <c r="D109" s="69">
        <v>46028</v>
      </c>
      <c r="E109" s="32" t="s">
        <v>43</v>
      </c>
      <c r="F109" s="33" t="s">
        <v>118</v>
      </c>
      <c r="G109" s="33" t="s">
        <v>45</v>
      </c>
      <c r="H109" s="79" t="s">
        <v>351</v>
      </c>
      <c r="I109" s="37" t="s">
        <v>352</v>
      </c>
      <c r="J109" s="41">
        <v>1</v>
      </c>
      <c r="K109" s="51" t="s">
        <v>353</v>
      </c>
      <c r="L109" s="39" t="s">
        <v>49</v>
      </c>
      <c r="M109" s="39"/>
      <c r="N109" s="39"/>
    </row>
    <row r="110" spans="1:14" ht="84" customHeight="1">
      <c r="A110" s="29">
        <v>108</v>
      </c>
      <c r="B110" s="29">
        <v>2026</v>
      </c>
      <c r="C110" s="36">
        <v>1</v>
      </c>
      <c r="D110" s="31">
        <v>46029</v>
      </c>
      <c r="E110" s="32" t="s">
        <v>43</v>
      </c>
      <c r="F110" s="33" t="s">
        <v>118</v>
      </c>
      <c r="G110" s="33" t="s">
        <v>45</v>
      </c>
      <c r="H110" s="39" t="s">
        <v>346</v>
      </c>
      <c r="I110" s="37" t="s">
        <v>348</v>
      </c>
      <c r="J110" s="46" t="s">
        <v>349</v>
      </c>
      <c r="K110" s="47" t="s">
        <v>350</v>
      </c>
      <c r="L110" s="39" t="s">
        <v>60</v>
      </c>
      <c r="M110" s="39"/>
      <c r="N110" s="39"/>
    </row>
    <row r="111" spans="1:14" ht="42" customHeight="1">
      <c r="A111" s="29">
        <v>109</v>
      </c>
      <c r="B111" s="29">
        <v>2026</v>
      </c>
      <c r="C111" s="36">
        <v>4</v>
      </c>
      <c r="D111" s="31">
        <v>46044</v>
      </c>
      <c r="E111" s="32" t="s">
        <v>43</v>
      </c>
      <c r="F111" s="33" t="s">
        <v>44</v>
      </c>
      <c r="G111" s="33" t="s">
        <v>45</v>
      </c>
      <c r="H111" s="39" t="s">
        <v>354</v>
      </c>
      <c r="I111" s="37" t="s">
        <v>357</v>
      </c>
      <c r="J111" s="46" t="s">
        <v>356</v>
      </c>
      <c r="K111" s="47" t="s">
        <v>355</v>
      </c>
      <c r="L111" s="39" t="s">
        <v>60</v>
      </c>
      <c r="M111" s="39"/>
      <c r="N111" s="39"/>
    </row>
    <row r="112" spans="1:14" ht="36" customHeight="1">
      <c r="A112" s="29">
        <v>110</v>
      </c>
      <c r="B112" s="29">
        <v>2026</v>
      </c>
      <c r="C112" s="36">
        <v>5</v>
      </c>
      <c r="D112" s="31">
        <v>46051</v>
      </c>
      <c r="E112" s="32" t="s">
        <v>43</v>
      </c>
      <c r="F112" s="48" t="s">
        <v>359</v>
      </c>
      <c r="G112" s="48" t="s">
        <v>69</v>
      </c>
      <c r="H112" s="39" t="s">
        <v>358</v>
      </c>
      <c r="I112" s="39" t="s">
        <v>278</v>
      </c>
      <c r="J112" s="46" t="s">
        <v>356</v>
      </c>
      <c r="K112" s="39" t="s">
        <v>360</v>
      </c>
      <c r="L112" s="39" t="s">
        <v>60</v>
      </c>
      <c r="M112" s="39"/>
      <c r="N112" s="39"/>
    </row>
    <row r="113" spans="1:14" ht="36" customHeight="1">
      <c r="A113" s="29">
        <v>111</v>
      </c>
      <c r="B113" s="29">
        <v>2026</v>
      </c>
      <c r="C113" s="36">
        <v>5</v>
      </c>
      <c r="D113" s="31">
        <v>46049</v>
      </c>
      <c r="E113" s="32" t="s">
        <v>43</v>
      </c>
      <c r="F113" s="48" t="s">
        <v>359</v>
      </c>
      <c r="G113" s="48" t="s">
        <v>45</v>
      </c>
      <c r="H113" s="39" t="s">
        <v>119</v>
      </c>
      <c r="I113" s="39" t="s">
        <v>361</v>
      </c>
      <c r="J113" s="41">
        <v>3</v>
      </c>
      <c r="K113" s="39" t="s">
        <v>362</v>
      </c>
      <c r="L113" s="39" t="s">
        <v>49</v>
      </c>
      <c r="M113" s="39"/>
      <c r="N113" s="39"/>
    </row>
    <row r="114" spans="1:14" ht="36" customHeight="1">
      <c r="A114" s="29">
        <v>112</v>
      </c>
      <c r="B114" s="29">
        <v>2026</v>
      </c>
      <c r="C114" s="36">
        <v>5</v>
      </c>
      <c r="D114" s="31">
        <v>46052</v>
      </c>
      <c r="E114" s="32" t="s">
        <v>43</v>
      </c>
      <c r="F114" s="48" t="s">
        <v>44</v>
      </c>
      <c r="G114" s="48" t="s">
        <v>45</v>
      </c>
      <c r="H114" s="39" t="s">
        <v>174</v>
      </c>
      <c r="I114" s="39" t="s">
        <v>363</v>
      </c>
      <c r="J114" s="41">
        <v>1</v>
      </c>
      <c r="K114" s="39" t="s">
        <v>364</v>
      </c>
      <c r="L114" s="39" t="s">
        <v>49</v>
      </c>
      <c r="M114" s="39"/>
      <c r="N114" s="39"/>
    </row>
    <row r="115" spans="1:14" ht="63.75" customHeight="1">
      <c r="A115" s="29">
        <v>113</v>
      </c>
      <c r="B115" s="29">
        <v>2026</v>
      </c>
      <c r="C115" s="36">
        <v>11</v>
      </c>
      <c r="D115" s="31">
        <v>46092</v>
      </c>
      <c r="E115" s="32" t="s">
        <v>43</v>
      </c>
      <c r="F115" s="48" t="s">
        <v>359</v>
      </c>
      <c r="G115" s="48" t="s">
        <v>45</v>
      </c>
      <c r="H115" s="39" t="s">
        <v>372</v>
      </c>
      <c r="I115" s="51" t="s">
        <v>376</v>
      </c>
      <c r="J115" s="108">
        <v>10</v>
      </c>
      <c r="K115" s="47" t="s">
        <v>377</v>
      </c>
      <c r="L115" s="39" t="s">
        <v>60</v>
      </c>
      <c r="M115" s="39"/>
      <c r="N115" s="39"/>
    </row>
    <row r="116" spans="1:14" ht="63.75" customHeight="1">
      <c r="A116" s="29">
        <v>114</v>
      </c>
      <c r="B116" s="29">
        <v>2026</v>
      </c>
      <c r="C116" s="36">
        <v>11</v>
      </c>
      <c r="D116" s="31">
        <v>46092</v>
      </c>
      <c r="E116" s="32" t="s">
        <v>43</v>
      </c>
      <c r="F116" s="48" t="s">
        <v>359</v>
      </c>
      <c r="G116" s="48" t="s">
        <v>45</v>
      </c>
      <c r="H116" s="39" t="s">
        <v>373</v>
      </c>
      <c r="I116" s="51" t="s">
        <v>375</v>
      </c>
      <c r="J116" s="108">
        <v>16</v>
      </c>
      <c r="K116" s="47" t="s">
        <v>378</v>
      </c>
      <c r="L116" s="39" t="s">
        <v>60</v>
      </c>
      <c r="M116" s="39"/>
      <c r="N116" s="39"/>
    </row>
    <row r="117" spans="1:14" ht="63.75" customHeight="1">
      <c r="A117" s="29">
        <v>115</v>
      </c>
      <c r="B117" s="29">
        <v>2026</v>
      </c>
      <c r="C117" s="36">
        <v>12</v>
      </c>
      <c r="D117" s="31">
        <v>46098</v>
      </c>
      <c r="E117" s="32" t="s">
        <v>43</v>
      </c>
      <c r="F117" s="48" t="s">
        <v>189</v>
      </c>
      <c r="G117" s="48" t="s">
        <v>92</v>
      </c>
      <c r="H117" s="39" t="s">
        <v>268</v>
      </c>
      <c r="I117" s="37" t="s">
        <v>382</v>
      </c>
      <c r="J117" s="41">
        <v>1</v>
      </c>
      <c r="K117" s="47" t="s">
        <v>383</v>
      </c>
      <c r="L117" s="39" t="s">
        <v>49</v>
      </c>
      <c r="M117" s="39"/>
      <c r="N117" s="39"/>
    </row>
    <row r="118" spans="1:14" ht="66.75" customHeight="1">
      <c r="A118" s="29">
        <v>116</v>
      </c>
      <c r="B118" s="29">
        <v>2026</v>
      </c>
      <c r="C118" s="36">
        <v>13</v>
      </c>
      <c r="D118" s="31">
        <v>46104</v>
      </c>
      <c r="E118" s="32" t="s">
        <v>43</v>
      </c>
      <c r="F118" s="48" t="s">
        <v>359</v>
      </c>
      <c r="G118" s="48" t="s">
        <v>69</v>
      </c>
      <c r="H118" s="39" t="s">
        <v>358</v>
      </c>
      <c r="I118" s="37" t="s">
        <v>278</v>
      </c>
      <c r="J118" s="46" t="s">
        <v>356</v>
      </c>
      <c r="K118" s="47" t="s">
        <v>385</v>
      </c>
      <c r="L118" s="39" t="s">
        <v>215</v>
      </c>
      <c r="M118" s="39"/>
      <c r="N118" s="39"/>
    </row>
    <row r="119" spans="1:14" ht="34.5" customHeight="1">
      <c r="A119" s="29">
        <v>117</v>
      </c>
      <c r="B119" s="29">
        <v>2026</v>
      </c>
      <c r="C119" s="36">
        <v>13</v>
      </c>
      <c r="D119" s="31">
        <v>46107</v>
      </c>
      <c r="E119" s="32" t="s">
        <v>43</v>
      </c>
      <c r="F119" s="48" t="s">
        <v>189</v>
      </c>
      <c r="G119" s="48" t="s">
        <v>92</v>
      </c>
      <c r="H119" s="39" t="s">
        <v>188</v>
      </c>
      <c r="I119" s="37" t="s">
        <v>386</v>
      </c>
      <c r="J119" s="41">
        <v>1</v>
      </c>
      <c r="K119" s="47" t="s">
        <v>387</v>
      </c>
      <c r="L119" s="39" t="s">
        <v>49</v>
      </c>
      <c r="M119" s="39"/>
      <c r="N119" s="39"/>
    </row>
    <row r="120" spans="1:14" ht="34.5" customHeight="1">
      <c r="A120" s="29">
        <v>118</v>
      </c>
      <c r="B120" s="29">
        <v>2026</v>
      </c>
      <c r="C120" s="36">
        <v>13</v>
      </c>
      <c r="D120" s="31">
        <v>46107</v>
      </c>
      <c r="E120" s="32" t="s">
        <v>43</v>
      </c>
      <c r="F120" s="48" t="s">
        <v>44</v>
      </c>
      <c r="G120" s="48" t="s">
        <v>45</v>
      </c>
      <c r="H120" s="39" t="s">
        <v>388</v>
      </c>
      <c r="I120" s="37" t="s">
        <v>389</v>
      </c>
      <c r="J120" s="41">
        <v>1</v>
      </c>
      <c r="K120" s="47" t="s">
        <v>390</v>
      </c>
      <c r="L120" s="39" t="s">
        <v>49</v>
      </c>
      <c r="M120" s="39"/>
      <c r="N120" s="39"/>
    </row>
    <row r="121" spans="1:14" ht="34.5" customHeight="1">
      <c r="A121" s="29">
        <v>119</v>
      </c>
      <c r="B121" s="29">
        <v>2026</v>
      </c>
      <c r="C121" s="36">
        <v>13</v>
      </c>
      <c r="D121" s="31">
        <v>46109</v>
      </c>
      <c r="E121" s="32" t="s">
        <v>43</v>
      </c>
      <c r="F121" s="48" t="s">
        <v>44</v>
      </c>
      <c r="G121" s="48" t="s">
        <v>45</v>
      </c>
      <c r="H121" s="39" t="s">
        <v>174</v>
      </c>
      <c r="I121" s="37" t="s">
        <v>391</v>
      </c>
      <c r="J121" s="41">
        <v>1</v>
      </c>
      <c r="K121" s="47" t="s">
        <v>392</v>
      </c>
      <c r="L121" s="39" t="s">
        <v>49</v>
      </c>
      <c r="M121" s="39"/>
      <c r="N121" s="39"/>
    </row>
    <row r="122" spans="1:14" ht="34.5" customHeight="1">
      <c r="A122" s="29">
        <v>120</v>
      </c>
      <c r="B122" s="29">
        <v>2026</v>
      </c>
      <c r="C122" s="36">
        <v>13</v>
      </c>
      <c r="D122" s="31">
        <v>46107</v>
      </c>
      <c r="E122" s="32" t="s">
        <v>43</v>
      </c>
      <c r="F122" s="48" t="s">
        <v>44</v>
      </c>
      <c r="G122" s="48" t="s">
        <v>69</v>
      </c>
      <c r="H122" s="39" t="s">
        <v>396</v>
      </c>
      <c r="I122" s="88">
        <v>8122781</v>
      </c>
      <c r="J122" s="41">
        <v>1</v>
      </c>
      <c r="K122" s="47" t="s">
        <v>398</v>
      </c>
      <c r="L122" s="39" t="s">
        <v>49</v>
      </c>
      <c r="M122" s="39"/>
      <c r="N122" s="39"/>
    </row>
    <row r="123" spans="1:14" ht="179.1" customHeight="1">
      <c r="A123" s="29">
        <v>121</v>
      </c>
      <c r="B123" s="29">
        <v>2026</v>
      </c>
      <c r="C123" s="36">
        <v>16</v>
      </c>
      <c r="D123" s="69" t="s">
        <v>403</v>
      </c>
      <c r="E123" s="32" t="s">
        <v>43</v>
      </c>
      <c r="F123" s="48" t="s">
        <v>359</v>
      </c>
      <c r="G123" s="48" t="s">
        <v>45</v>
      </c>
      <c r="H123" s="39" t="s">
        <v>401</v>
      </c>
      <c r="I123" s="88" t="s">
        <v>404</v>
      </c>
      <c r="J123" s="41">
        <v>5</v>
      </c>
      <c r="K123" s="47" t="s">
        <v>402</v>
      </c>
      <c r="L123" s="39" t="s">
        <v>49</v>
      </c>
      <c r="M123" s="39"/>
      <c r="N123" s="39"/>
    </row>
    <row r="124" spans="1:14" ht="34.5" customHeight="1">
      <c r="A124" s="29">
        <v>122</v>
      </c>
      <c r="B124" s="29">
        <v>2026</v>
      </c>
      <c r="C124" s="36">
        <v>16</v>
      </c>
      <c r="D124" s="31">
        <v>46129</v>
      </c>
      <c r="E124" s="32" t="s">
        <v>43</v>
      </c>
      <c r="F124" s="48" t="s">
        <v>359</v>
      </c>
      <c r="G124" s="48" t="s">
        <v>45</v>
      </c>
      <c r="H124" s="39" t="s">
        <v>401</v>
      </c>
      <c r="I124" s="88" t="s">
        <v>405</v>
      </c>
      <c r="J124" s="41">
        <v>6</v>
      </c>
      <c r="K124" s="47" t="s">
        <v>406</v>
      </c>
      <c r="L124" s="39" t="s">
        <v>49</v>
      </c>
      <c r="M124" s="39"/>
      <c r="N124" s="39"/>
    </row>
    <row r="125" spans="1:14" ht="180.45" customHeight="1">
      <c r="A125" s="29">
        <v>123</v>
      </c>
      <c r="B125" s="29">
        <v>2026</v>
      </c>
      <c r="C125" s="36">
        <v>17</v>
      </c>
      <c r="D125" s="69" t="s">
        <v>454</v>
      </c>
      <c r="E125" s="32" t="s">
        <v>43</v>
      </c>
      <c r="F125" s="48" t="s">
        <v>359</v>
      </c>
      <c r="G125" s="48" t="s">
        <v>45</v>
      </c>
      <c r="H125" s="39" t="s">
        <v>401</v>
      </c>
      <c r="I125" s="88" t="s">
        <v>455</v>
      </c>
      <c r="J125" s="41">
        <v>12</v>
      </c>
      <c r="K125" s="47" t="s">
        <v>402</v>
      </c>
      <c r="L125" s="39" t="s">
        <v>49</v>
      </c>
      <c r="M125" s="39"/>
      <c r="N125" s="39"/>
    </row>
    <row r="126" spans="1:14" ht="55.2">
      <c r="A126" s="29">
        <v>124</v>
      </c>
      <c r="B126" s="29">
        <v>2026</v>
      </c>
      <c r="C126" s="36">
        <v>17</v>
      </c>
      <c r="D126" s="69" t="s">
        <v>454</v>
      </c>
      <c r="E126" s="32" t="s">
        <v>43</v>
      </c>
      <c r="F126" s="48" t="s">
        <v>359</v>
      </c>
      <c r="G126" s="48" t="s">
        <v>45</v>
      </c>
      <c r="H126" s="39" t="s">
        <v>401</v>
      </c>
      <c r="I126" s="88" t="s">
        <v>456</v>
      </c>
      <c r="J126" s="41">
        <v>2</v>
      </c>
      <c r="K126" s="51" t="s">
        <v>457</v>
      </c>
      <c r="L126" s="39" t="s">
        <v>49</v>
      </c>
      <c r="M126" s="39"/>
      <c r="N126" s="39"/>
    </row>
    <row r="127" spans="1:14" ht="34.5" customHeight="1">
      <c r="A127" s="29"/>
      <c r="B127" s="29"/>
      <c r="C127" s="36"/>
      <c r="D127" s="31"/>
      <c r="E127" s="32"/>
      <c r="F127" s="48"/>
      <c r="G127" s="48"/>
      <c r="H127" s="39"/>
      <c r="I127" s="37"/>
      <c r="J127" s="41"/>
      <c r="K127" s="47"/>
      <c r="L127" s="39"/>
      <c r="M127" s="39"/>
      <c r="N127" s="39"/>
    </row>
    <row r="128" spans="1:14" ht="37.5" customHeight="1"/>
  </sheetData>
  <mergeCells count="1">
    <mergeCell ref="A1:N1"/>
  </mergeCells>
  <phoneticPr fontId="7" type="noConversion"/>
  <dataValidations count="6">
    <dataValidation type="list" allowBlank="1" showInputMessage="1" showErrorMessage="1" sqref="L3:L38" xr:uid="{8B9E57E5-4FBF-4CAA-9DA4-3D24CA46B168}">
      <formula1>"IQC,Production,Customer Complaints,Audit Issue"</formula1>
    </dataValidation>
    <dataValidation type="list" allowBlank="1" showInputMessage="1" showErrorMessage="1" sqref="F3:F39 F42 F47:F64" xr:uid="{C75F3D4B-08AB-4257-BCF9-2B42A6DBF85B}">
      <formula1>"Ablecom, Araus , Nidec , Kaori, Cooler Master"</formula1>
    </dataValidation>
    <dataValidation type="list" allowBlank="1" showInputMessage="1" showErrorMessage="1" sqref="G3:G12" xr:uid="{4959731A-C32E-4592-8C56-56F88507B745}">
      <formula1>"CDM,CDU"</formula1>
    </dataValidation>
    <dataValidation type="list" allowBlank="1" showInputMessage="1" showErrorMessage="1" sqref="E3:E127" xr:uid="{276DC9AD-8889-41E0-ADAD-FD4831462BC2}">
      <formula1>"SMCI US,SMCI NL,SMCI TW"</formula1>
    </dataValidation>
    <dataValidation type="list" allowBlank="1" showInputMessage="1" showErrorMessage="1" sqref="G13:G111" xr:uid="{830109A8-7B83-426B-87C6-7BAE08C5BEC3}">
      <formula1>"CDM,CDU,SPAT"</formula1>
    </dataValidation>
    <dataValidation type="list" allowBlank="1" showInputMessage="1" showErrorMessage="1" sqref="F65:F111" xr:uid="{A643DC84-0F60-48B0-84A6-1E95316E0C44}">
      <formula1>"Ablecom, Araus , Nidec , Kaori, Cooler Master, Delta"</formula1>
    </dataValidation>
  </dataValidations>
  <pageMargins left="0.15748031496062992" right="0.15748031496062992" top="0.74803149606299213" bottom="0.74803149606299213" header="0.31496062992125984" footer="0.31496062992125984"/>
  <pageSetup paperSize="9" scale="9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F68B768C689C43A76467B932030966" ma:contentTypeVersion="15" ma:contentTypeDescription="Create a new document." ma:contentTypeScope="" ma:versionID="0f56c00c19455af869f239a0bb0e9e27">
  <xsd:schema xmlns:xsd="http://www.w3.org/2001/XMLSchema" xmlns:xs="http://www.w3.org/2001/XMLSchema" xmlns:p="http://schemas.microsoft.com/office/2006/metadata/properties" xmlns:ns3="346157c5-bb9c-4ee8-8319-92a44455a33e" xmlns:ns4="e0a74948-0283-4a51-a323-54a8dc6b59d4" targetNamespace="http://schemas.microsoft.com/office/2006/metadata/properties" ma:root="true" ma:fieldsID="f9910fb1dabc1010fa93e4e1dbb5840a" ns3:_="" ns4:_="">
    <xsd:import namespace="346157c5-bb9c-4ee8-8319-92a44455a33e"/>
    <xsd:import namespace="e0a74948-0283-4a51-a323-54a8dc6b59d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6157c5-bb9c-4ee8-8319-92a44455a3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74948-0283-4a51-a323-54a8dc6b59d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46157c5-bb9c-4ee8-8319-92a44455a3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0A8044-AEA2-4E9B-B347-1625FA390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6157c5-bb9c-4ee8-8319-92a44455a33e"/>
    <ds:schemaRef ds:uri="e0a74948-0283-4a51-a323-54a8dc6b59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8EB9C2-45F6-4620-AC7A-D3CE4A008368}">
  <ds:schemaRefs>
    <ds:schemaRef ds:uri="http://schemas.microsoft.com/office/2006/metadata/properties"/>
    <ds:schemaRef ds:uri="e0a74948-0283-4a51-a323-54a8dc6b59d4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46157c5-bb9c-4ee8-8319-92a44455a33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43F68B4-A730-437C-BF9B-D9EBC4D8D7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LCS Quality Trend Chart</vt:lpstr>
      <vt:lpstr>LCS Quality Status Table</vt:lpstr>
      <vt:lpstr>IQC LCS Weekly Record</vt:lpstr>
      <vt:lpstr>LCS Quality Issue List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August Su - TW (SR)</cp:lastModifiedBy>
  <cp:lastPrinted>2015-03-27T05:53:24Z</cp:lastPrinted>
  <dcterms:created xsi:type="dcterms:W3CDTF">2014-12-05T02:18:30Z</dcterms:created>
  <dcterms:modified xsi:type="dcterms:W3CDTF">2026-04-30T12:11:41Z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0x0101009DF68B768C689C43A76467B932030966</vt:lpwstr>
  </property>
</Properties>
</file>